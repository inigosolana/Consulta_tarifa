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grupoausarta-my.sharepoint.com/personal/alvaro_ortega_ausarta_es/Documents/OPERADORES Y MAYORISTAS/"/>
    </mc:Choice>
  </mc:AlternateContent>
  <xr:revisionPtr revIDLastSave="510" documentId="8_{019C78B7-680A-4D89-9322-B4D35AFB23D5}" xr6:coauthVersionLast="47" xr6:coauthVersionMax="47" xr10:uidLastSave="{000D7959-AA7F-4CA7-A735-809F542F18E8}"/>
  <bookViews>
    <workbookView xWindow="-120" yWindow="-120" windowWidth="29040" windowHeight="15840" firstSheet="2" activeTab="2" xr2:uid="{7440D092-5EC1-4682-A870-397C4CF2315A}"/>
  </bookViews>
  <sheets>
    <sheet name="Hoja1" sheetId="2" r:id="rId1"/>
    <sheet name="Hoja2" sheetId="3" r:id="rId2"/>
    <sheet name="informe CRM" sheetId="1" r:id="rId3"/>
    <sheet name="Tarifas operadores MOVIL" sheetId="4" r:id="rId4"/>
    <sheet name="Tarifas operadores FIBRA" sheetId="6" r:id="rId5"/>
  </sheets>
  <definedNames>
    <definedName name="_xlnm._FilterDatabase" localSheetId="2" hidden="1">'informe CRM'!$A$1:$AJ$194</definedName>
  </definedName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4" l="1"/>
  <c r="K13" i="4" s="1"/>
  <c r="F13" i="4"/>
  <c r="I3" i="3" l="1"/>
  <c r="I4" i="3"/>
  <c r="I5" i="3"/>
  <c r="I6" i="3"/>
  <c r="I7" i="3"/>
  <c r="I8" i="3"/>
  <c r="I9" i="3"/>
  <c r="I10" i="3"/>
  <c r="I11" i="3"/>
  <c r="I12" i="3"/>
  <c r="I13" i="3"/>
  <c r="I2" i="3"/>
  <c r="C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C49" i="3"/>
  <c r="D50" i="3"/>
  <c r="D49" i="3" s="1"/>
  <c r="D51" i="3"/>
  <c r="D52" i="3"/>
  <c r="D53" i="3"/>
  <c r="D54" i="3"/>
  <c r="D55" i="3"/>
  <c r="D56" i="3"/>
  <c r="D57" i="3"/>
  <c r="D58" i="3"/>
  <c r="D59" i="3"/>
  <c r="C60" i="3"/>
  <c r="D61" i="3"/>
  <c r="D62" i="3"/>
  <c r="D63" i="3"/>
  <c r="D64" i="3"/>
  <c r="D65" i="3"/>
  <c r="D66" i="3"/>
  <c r="D67" i="3"/>
  <c r="D68" i="3"/>
  <c r="D69" i="3"/>
  <c r="D70" i="3"/>
  <c r="C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C101" i="3"/>
  <c r="D102" i="3"/>
  <c r="D103" i="3"/>
  <c r="D104" i="3"/>
  <c r="D105" i="3"/>
  <c r="D106" i="3"/>
  <c r="D107" i="3"/>
  <c r="D108" i="3"/>
  <c r="C109" i="3"/>
  <c r="D110" i="3"/>
  <c r="D109" i="3" s="1"/>
  <c r="D111" i="3"/>
  <c r="D112" i="3"/>
  <c r="D113" i="3"/>
  <c r="D114" i="3"/>
  <c r="D115" i="3"/>
  <c r="D116" i="3"/>
  <c r="D117" i="3"/>
  <c r="D118" i="3"/>
  <c r="C119" i="3"/>
  <c r="D120" i="3"/>
  <c r="D121" i="3"/>
  <c r="D122" i="3"/>
  <c r="D123" i="3"/>
  <c r="D124" i="3"/>
  <c r="D125" i="3"/>
  <c r="D126" i="3"/>
  <c r="D127" i="3"/>
  <c r="D128" i="3"/>
  <c r="D129" i="3"/>
  <c r="D130" i="3"/>
  <c r="C131" i="3"/>
  <c r="D132" i="3"/>
  <c r="D133" i="3"/>
  <c r="D134" i="3"/>
  <c r="C135" i="3"/>
  <c r="D136" i="3"/>
  <c r="D137" i="3"/>
  <c r="D138" i="3"/>
  <c r="C139" i="3"/>
  <c r="D140" i="3"/>
  <c r="D141" i="3"/>
  <c r="D142" i="3"/>
  <c r="D143" i="3"/>
  <c r="D145" i="3"/>
  <c r="D146" i="3"/>
  <c r="D71" i="3" l="1"/>
  <c r="D60" i="3"/>
  <c r="D144" i="3"/>
  <c r="D131" i="3"/>
  <c r="D119" i="3"/>
  <c r="D139" i="3"/>
  <c r="D101" i="3"/>
  <c r="D135" i="3"/>
  <c r="D2" i="3"/>
  <c r="D147" i="3"/>
</calcChain>
</file>

<file path=xl/sharedStrings.xml><?xml version="1.0" encoding="utf-8"?>
<sst xmlns="http://schemas.openxmlformats.org/spreadsheetml/2006/main" count="1509" uniqueCount="384">
  <si>
    <t>familia</t>
  </si>
  <si>
    <t>Líneas Móviles</t>
  </si>
  <si>
    <t>Etiquetas de fila</t>
  </si>
  <si>
    <t>Suma de Uds totales activas</t>
  </si>
  <si>
    <t>Aire</t>
  </si>
  <si>
    <t>Citelia-Aire</t>
  </si>
  <si>
    <t>(en blanco)</t>
  </si>
  <si>
    <t>Citelia-Ptv</t>
  </si>
  <si>
    <t>Citelia-Telefonica</t>
  </si>
  <si>
    <t>movistar</t>
  </si>
  <si>
    <t>Fi Network</t>
  </si>
  <si>
    <t>Lemonvil</t>
  </si>
  <si>
    <t>vodafone</t>
  </si>
  <si>
    <t>Total general</t>
  </si>
  <si>
    <t>Suma de Coste Total Ausarta</t>
  </si>
  <si>
    <t>coste medio</t>
  </si>
  <si>
    <t>Router 4G</t>
  </si>
  <si>
    <t>Centralita</t>
  </si>
  <si>
    <t>Licencias</t>
  </si>
  <si>
    <t>Fibras</t>
  </si>
  <si>
    <t>Bonos</t>
  </si>
  <si>
    <t>LPD</t>
  </si>
  <si>
    <t>Número Fijo</t>
  </si>
  <si>
    <t>Firewalls</t>
  </si>
  <si>
    <t>M2M</t>
  </si>
  <si>
    <t>NAS</t>
  </si>
  <si>
    <t>ID</t>
  </si>
  <si>
    <t>Nombre</t>
  </si>
  <si>
    <t>Tipo de servicio</t>
  </si>
  <si>
    <t>Descripción contractual</t>
  </si>
  <si>
    <t>Información comercial</t>
  </si>
  <si>
    <t>Ofertable</t>
  </si>
  <si>
    <t>Activable</t>
  </si>
  <si>
    <t>Precio operador</t>
  </si>
  <si>
    <t>Precio coste</t>
  </si>
  <si>
    <t>Coste comercial</t>
  </si>
  <si>
    <t>Coste comercial (anexo)</t>
  </si>
  <si>
    <t>Precio venta mínimo</t>
  </si>
  <si>
    <t>Precio venta mínimo (anexo)</t>
  </si>
  <si>
    <t>PVP recomendado</t>
  </si>
  <si>
    <t>Uds totales activas</t>
  </si>
  <si>
    <t>provedor 1</t>
  </si>
  <si>
    <t>Uds. Activas Proveedor 1</t>
  </si>
  <si>
    <t>provedor 2</t>
  </si>
  <si>
    <t>Uds. Activas Proveedor 2</t>
  </si>
  <si>
    <t>provedor 3</t>
  </si>
  <si>
    <t>Uds. Activas Proveedor 3</t>
  </si>
  <si>
    <t>provedor 4</t>
  </si>
  <si>
    <t>Uds. Activas Proveedor 4</t>
  </si>
  <si>
    <t>provedor 5</t>
  </si>
  <si>
    <t>Uds. Activas Proveedor 5</t>
  </si>
  <si>
    <t>provedor 6</t>
  </si>
  <si>
    <t>Uds. Activas Proveedor 6</t>
  </si>
  <si>
    <t>requisito-ICC</t>
  </si>
  <si>
    <t>requisito-SERVICIO BACK-UP</t>
  </si>
  <si>
    <t>requisito-ORDEN DE TRABAJO</t>
  </si>
  <si>
    <t>requisito-CONTROL TECNICO</t>
  </si>
  <si>
    <t>requisito-MONITORIZACION NOC</t>
  </si>
  <si>
    <t>requisito-REGISTRAR EN PLANNER</t>
  </si>
  <si>
    <t>requisito-Excell de actuvaciones</t>
  </si>
  <si>
    <t>Activo</t>
  </si>
  <si>
    <t>Tarifa OPTIMA</t>
  </si>
  <si>
    <t>tarifa</t>
  </si>
  <si>
    <t>Voz: 6.000 minutos a móviles y fijos nacionales.
Datos: 40 GB. Superados los datos baja la velocidad a 16Kbps durante 20GB y luego se cortan.
Fuera de tarifa:
Llamadas a móviles y fijos nacionales - 0,0414€
Establecimiento de llamada - 0,165€
SMS - nacionales 0,15€  internacionales UE 0,06€  resto países 0,50€</t>
  </si>
  <si>
    <t>Sí</t>
  </si>
  <si>
    <t>Tarifa OPTIMA +</t>
  </si>
  <si>
    <t>Voz: 6.000 minutos a móviles y fijos nacionales.
Datos: 80 GB. Superados los datos baja la velocidad a 16Kbps durante 20GB y luego se cortan.
Fuera de tarifa:
Llamadas a móviles y fijos nacionales - 0,0414€
Establecimiento de llamada - 0,165€
SMS - nacionales 0,15€  internacionales UE 0,06€  resto países 0,50€</t>
  </si>
  <si>
    <t>ILIMITADA 15GB</t>
  </si>
  <si>
    <t>Voz: 6.000 minutos a móviles y fijos nacionales._x000D_
Datos: 15 GB. Superados los datos baja la velocidad a 16Kbps durante 20GB y luego se cortan._x000D_
Fuera de tarifa:_x000D_
Llamadas a móviles y fijos nacionales - 0,0414€_x000D_
Establecimiento de llamada - 0,165€_x000D_
SMS - nacionales 0,15€  internacionales UE 0,06€  resto países 0,50€</t>
  </si>
  <si>
    <t>ILIMITADA 80GB</t>
  </si>
  <si>
    <t>Voz: 6.000 minutos a móviles y fijos nacionales._x000D_
Datos: 80 GB. Superados los datos baja la velocidad a 16 Kbps._x000D_
Servicio Acumulagigas incluido._x000D_
Fuera de tarifa:_x000D_
Llamadas a móviles y fijos nacionales - 0,0414€_x000D_
Establecimiento de llamada - 0,165€_x000D_
SMS - nacionales 0,148€, internacionales UE 0,06€, resto países 0,50€</t>
  </si>
  <si>
    <t>Router Backup 4G Monitorizado</t>
  </si>
  <si>
    <t>fibra</t>
  </si>
  <si>
    <t>Router monitorizado, no permite movilidad esto es kite</t>
  </si>
  <si>
    <t>Desconocido</t>
  </si>
  <si>
    <t>Vadavo</t>
  </si>
  <si>
    <t>Ausarta Conecta</t>
  </si>
  <si>
    <t>Fibra Profesional</t>
  </si>
  <si>
    <t>Router y ONT Ausarta. Fibra monitorizada. Posibilidad de backup 4G o Fibra dual manteniendo misma IP</t>
  </si>
  <si>
    <t>Citelia-Sarenet</t>
  </si>
  <si>
    <t>Citelia-Orange</t>
  </si>
  <si>
    <t>Citelia-Adamo</t>
  </si>
  <si>
    <t>Citelia-Masmovil</t>
  </si>
  <si>
    <t>Citelia-Soastel</t>
  </si>
  <si>
    <t>Fibra PRO Max Velocidad</t>
  </si>
  <si>
    <t>Centralita Yeastar</t>
  </si>
  <si>
    <t>service</t>
  </si>
  <si>
    <t>Centralita iVoz</t>
  </si>
  <si>
    <t>No</t>
  </si>
  <si>
    <t>Licencia Microsoft 365 Empresa Estandar</t>
  </si>
  <si>
    <t>license</t>
  </si>
  <si>
    <t>Movistar Duo Superior</t>
  </si>
  <si>
    <t>Incluye X  min/mes a fijos y moviles naciones, 400Gb,  500 sms, multimsim. Superados los X min llamadas a móviles y fijos nacionales X . Superados los 500 sms precio 15 cent/sms. No incluye numeros de tarificacion especial</t>
  </si>
  <si>
    <t>ILIMITADA 130GB LMV</t>
  </si>
  <si>
    <t>Fibra residencial 300MB</t>
  </si>
  <si>
    <t>Router y ONT de movistar. Permanencia obligatoria 12 meses. No se pueden poner puestos de VoIP</t>
  </si>
  <si>
    <t>M2M Movistar 1 GB</t>
  </si>
  <si>
    <t>connectivity</t>
  </si>
  <si>
    <t>PVP sms nacional 0,10&amp;euro /sms. PVP llamada nacional 0,20&amp;euro /min. Inicialmente se activan todas las M2M sin sms ni llamadas, lo tendr&amp;aacute  que solicitar el cliente y se le informa del precio minuto</t>
  </si>
  <si>
    <t>PVP sms nacional 0,10/sms. PVP llamada nacional 0,20/min. Inicialmente se activan todas las M2M sin sms ni llamadas, lo tendrá que solicitar el cliente y se le informa del precio minuto</t>
  </si>
  <si>
    <t>ILIMITADA 100 GB</t>
  </si>
  <si>
    <t>Voz: 6.000 minutos a móviles y fijos nacionales._x000D_
Datos: 100 GB. Superados los datos baja la velocidad a 16 Kbps._x000D_
Servicios Acumulagigas y Transferencia de llamada incluidos._x000D_
Fuera de tarifa:_x000D_
Llamadas a móviles y fijos nacionales - 0,0414€_x000D_
Establecimiento de llamada - 0,165€_x000D_
SMS - nacionales 0,15€  internacionales UE 0,06€  resto países 0,50€</t>
  </si>
  <si>
    <t>ILIMITADA 100GB LMV</t>
  </si>
  <si>
    <t>Límite de 150 destinos, 3000 minutos, y NO INCLUYE SMS (0.18 IVA incluido). Hay un limitador para enviar 100SMS. Si el cliente completa ese limitador no puede enviar mas SMS.</t>
  </si>
  <si>
    <t>LPD 80 GB</t>
  </si>
  <si>
    <t>Centralita CommsMundi</t>
  </si>
  <si>
    <t>Imatel</t>
  </si>
  <si>
    <t>Router 4G Monitorizado Vodafone Thorsten 1.000 GB</t>
  </si>
  <si>
    <t>Thorsten</t>
  </si>
  <si>
    <t xml:space="preserve">Licencia GSuite WorkPlace Business Starter </t>
  </si>
  <si>
    <t>M2M Movistar 100 MB</t>
  </si>
  <si>
    <t>Fibra residencial 1GB</t>
  </si>
  <si>
    <t>Licencia OYSTA localizacion de flotas</t>
  </si>
  <si>
    <t>Router 4G Monitorizado Movistar 400 GB</t>
  </si>
  <si>
    <t>Router monitorizado, no permite movilidad</t>
  </si>
  <si>
    <t>ILIMITADA 250 GB</t>
  </si>
  <si>
    <t>Voz: 6.000 minutos a móviles y fijos nacionales._x000D_
Datos: 250 GB. Superados los datos baja la velocidad a 16 Kbps._x000D_
Servicios Acumulagigas, Transferencia de llamada y Seguridad Móvil incluidos._x000D_
Fuera de tarifa:_x000D_
Llamadas a móviles y fijos nacionales - 0,0414€_x000D_
Establecimiento de llamada - 0,165€_x000D_
SMS - nacionales 0,148€  internacionales UE 0,06€  resto países 0,50€</t>
  </si>
  <si>
    <t>Licencia Microsoft 365 Empresa Básico</t>
  </si>
  <si>
    <t>Licencia GSuite WorkPlace Business Standard</t>
  </si>
  <si>
    <t>Fijo Citelia</t>
  </si>
  <si>
    <t>PORTANET</t>
  </si>
  <si>
    <t>Licencia Sesame Time ANUAL</t>
  </si>
  <si>
    <t>SIM 4G Movilidad Movistar 400 GB</t>
  </si>
  <si>
    <t>Sim 4G para movilidad. No incluye Router</t>
  </si>
  <si>
    <t>ILIMITADA 15GB +</t>
  </si>
  <si>
    <t>Voz: 6.000 minutos a móviles y fijos nacionales._x000D_
Datos: 15 GB. Superados los datos baja la velocidad a 16Kbps durante 20GB y luego se cortan._x000D_
Fuera de tarifa:_x000D_
Llamadas a móviles y fijos nacionales - 0,0414€_x000D_
Establecimiento de llamada - 0,165€_x000D_
SMS - nacionales 0,15€  internacionales UE 0,06€  resto países 0,50</t>
  </si>
  <si>
    <t>Router Backup 4G Monitorizado M2M PTV</t>
  </si>
  <si>
    <t>Router Backup Especial 4G Monitorizado</t>
  </si>
  <si>
    <t>Bono VoIP internacional Zona 1 (1000 min)</t>
  </si>
  <si>
    <t>Incluye 1.000 min/mes a fijos y moviles UNION EUROPEA._x000D_
&lt;ul&gt;_x000D_
  &lt;li&gt;Albania&lt;/li&gt;_x000D_
  &lt;li&gt;Alemania - No geografico&lt;/li&gt;_x000D_
  &lt;li&gt;Austria&lt;/li&gt;_x000D_
  &lt;li&gt;Bélgica&lt;/li&gt;_x000D_
  &lt;li&gt;Bosnia y Herzegovina&lt;/li&gt;_x000D_
  &lt;li&gt;Bulgaria&lt;/li&gt;_x000D_
  &lt;li&gt;Canadá&lt;/li&gt;_x000D_
  &lt;li&gt;Croacia&lt;/li&gt;_x000D_
  &lt;li&gt;Chipre&lt;/li&gt;_x000D_
  &lt;li&gt;República Checa&lt;/li&gt;_x000D_
  &lt;li&gt;Dinamarca&lt;/li&gt;_x000D_
  &lt;li&gt;Dinamarca - Mobile-Sonofon&lt;/li&gt;_x000D_
  &lt;li&gt;Dinamarca - Mobile-Telia&lt;/li&gt;_x000D_
  &lt;li&gt;Eslovenia - Móvil&lt;/li&gt;_x000D_
  &lt;li&gt;Estonia&lt;/li&gt;_x000D_
  &lt;li&gt;Islas Feroe&lt;/li&gt;_x000D_
  &lt;li&gt;Finlandia&lt;/li&gt;_x000D_
  &lt;li&gt;Francia&lt;/li&gt;_x000D_
  &lt;li&gt;Francia - Mobile-Free&lt;/li&gt;_x000D_
  &lt;li&gt;Alemania&lt;/li&gt;_x000D_
  &lt;li&gt;Gibraltar&lt;/li&gt;_x000D_
  &lt;li&gt;Grecia&lt;/li&gt;_x000D_
  &lt;li&gt;Hungría&lt;/li&gt;_x000D_
  &lt;li&gt;Islandia&lt;/li&gt;_x000D_
  &lt;li&gt;Irlanda&lt;/li&gt;_x000D_
  &lt;li&gt;Irlanda - Dublín&lt;/li&gt;_x000D_
  &lt;li&gt;Italia&lt;/li&gt;_x000D_
  &lt;li&gt;Italia - OTHER MOBILE&lt;/li&gt;_x000D_
  &lt;li&gt;Italia - Vodafone móvil&lt;/li&gt;_x000D_
  &lt;li&gt;Letonia&lt;/li&gt;_x000D_
  &lt;li&gt;Liechtenstein&lt;/li&gt;_x000D_
  &lt;li&gt;Lituania&lt;/li&gt;_x000D_
  &lt;li&gt;Lituania - Special Services&lt;/li&gt;_x000D_
  &lt;li&gt;Luxemburgo&lt;/li&gt;_x000D_
  &lt;li&gt;Macedonia&lt;/li&gt;_x000D_
  &lt;li&gt;Malta&lt;/li&gt;_x000D_
  &lt;li&gt;Montenegro&lt;/li&gt;_x000D_
  &lt;li&gt;Países Bajos&lt;/li&gt;_x000D_
  &lt;li&gt;Países Bajos - Freephone&lt;/li&gt;_x000D_
  &lt;li&gt;Noruega&lt;/li&gt;_x000D_
  &lt;li&gt;Noruega - Mobile-Netcom&lt;/li&gt;_x000D_
  &lt;li&gt;Polonia&lt;/li&gt;_x000D_
  &lt;li&gt;Polonia - Mobile-Play&lt;/li&gt;_x000D_
  &lt;li&gt;Portugal&lt;/li&gt;_x000D_
  &lt;li&gt;Rumanía&lt;/li&gt;_x000D_
  &lt;li&gt;San Marino&lt;/li&gt;_x000D_
  &lt;li&gt;Serbia&lt;/li&gt;_x000D_
  &lt;li&gt;San Martín&lt;/li&gt;_x000D_
  &lt;li&gt;Eslovaquia&lt;/li&gt;_x000D_
  &lt;li&gt;Eslovenia&lt;/li&gt;_x000D_
  &lt;li&gt;Suecia&lt;/li&gt;_x000D_
  &lt;li&gt;Suecia - Freephone&lt;/li&gt;_x000D_
  &lt;li&gt;Reino Unido&lt;/li&gt;_x000D_
  &lt;li&gt;Reino Unido - Mobile&lt;/li&gt;_x000D_
  &lt;li&gt;Reino Unido - Mobile-H3G&lt;/li&gt;_x000D_
  &lt;li&gt;Estados Unidos&lt;/li&gt;_x000D_
  &lt;li&gt;Islas Vírgenes&lt;/li&gt;_x000D_
&lt;/ul&gt;</t>
  </si>
  <si>
    <t>Router 4G Monitorizado Vodafone 300 GB VDV</t>
  </si>
  <si>
    <t>ILIMITADA 160GB</t>
  </si>
  <si>
    <t>Voz: 6.000 minutos a móviles y fijos nacionales.&lt;br/&gt;Datos: 160 GB. Superados los datos baja la velocidad durante 1GB y luego se cortan.&lt;br/&gt;Servicio Acumulagigas incluido.&lt;br/&gt;Fuera de tarifa:&lt;br/&gt;Llamadas a móviles y fijos nacionales - 0,0414&lt;br/&gt;Establecimiento de llamada - 0,165&lt;br/&gt;SMS - nacionales 0,148  internacionales UE 0,06  resto países 0,50</t>
  </si>
  <si>
    <t>Centralita 3CX 4</t>
  </si>
  <si>
    <t>licencia de 4 canales</t>
  </si>
  <si>
    <t>ILIMITADA 500+300 GB</t>
  </si>
  <si>
    <t>Voz: 6.000 minutos a móviles y fijos nacionales._x000D_
Datos: 800GB (500GB a máxima velocidad + 300GB a 2 Mbps)_x000D_
Servicios Acumulagigas, Transferencia de llamada, IdentificaSIM y Seguridad Móvil incluidos._x000D_
Fuera de tarifa:_x000D_
Llamadas a móviles y fijos nacionales - 0,0414€_x000D_
Establecimiento de llamada - 0,165€_x000D_
SMS - nacionales 0,148€  internacionales UE 0,06€  resto países 0,50€</t>
  </si>
  <si>
    <t>Fijo Aire</t>
  </si>
  <si>
    <t>ILIMITADA VOZ Y DATOS</t>
  </si>
  <si>
    <t>Voz: 6.000 minutos a móviles y fijos nacionales.&lt;br/&gt;Datos: 300GB a máxima velocidad y una vez superados a 2 Mbps.&lt;br/&gt;Servicio Acumulagigas incluido.&lt;br/&gt;Fuera de tarifa:&lt;br/&gt;Llamadas a móviles y fijos nacionales - 0,0414&lt;br/&gt;Establecimiento de llamada - 0,165&lt;br/&gt;SMS - nacionales 0,148  internacionales UE 0,06  resto países 0,50</t>
  </si>
  <si>
    <t>LPD 160 GB</t>
  </si>
  <si>
    <t>Licencia Microsoft Exchange Online P1</t>
  </si>
  <si>
    <t>SIM 4G Movilidad Orange 350 GB PTV</t>
  </si>
  <si>
    <t>Centralita 3CX 8</t>
  </si>
  <si>
    <t>licencia de 8 canales</t>
  </si>
  <si>
    <t>SIM MOVILIDAD ORANGE 700 GB VADAVO</t>
  </si>
  <si>
    <t xml:space="preserve">Licencia Microsoft Office 365 Empresa Aplicaciones </t>
  </si>
  <si>
    <t>ILIMITADA 400GB LMV</t>
  </si>
  <si>
    <t>LPD 100 GB</t>
  </si>
  <si>
    <t>Router 4G Monitorizado Orange 350 GB PTV</t>
  </si>
  <si>
    <t>ILIMITADA 200GB LMV</t>
  </si>
  <si>
    <t>Oficina Móvil</t>
  </si>
  <si>
    <t>ILIMITADA 600GB</t>
  </si>
  <si>
    <t>Voz: 6.000 minutos a móviles y fijos nacionales._x000D_
Datos: 600GB (300GB a máxima velocidad + 300GB a 2 Mbps) Superados los datos baja la velocidad a 16 Kbps._x000D_
Servicios Acumulagigas, Transferencia de llamada, IdentificaSIM y Seguridad Móvil incluidos._x000D_
Fuera de tarifa:_x000D_
Llamadas a móviles y fijos nacionales - 0,0414€_x000D_
Establecimiento de llamada - 0,165€_x000D_
SMS - nacionales 0,148€  internacionales UE 0,06€  resto países 0,50€</t>
  </si>
  <si>
    <t>Router 4G Orange 90 GB</t>
  </si>
  <si>
    <t>Firewall Fortinet 40F</t>
  </si>
  <si>
    <t>security</t>
  </si>
  <si>
    <t>Incluye equipo, instalación, configuracion, mantenimiento y soporte.</t>
  </si>
  <si>
    <t>ILIMITADA VODAFONE 60GB PTV</t>
  </si>
  <si>
    <t>Firewall Checkpoint</t>
  </si>
  <si>
    <t>LPD 500GB + 300GB Baja velocidad</t>
  </si>
  <si>
    <t>Licencia Microsoft Exchange Online P2</t>
  </si>
  <si>
    <t>ILIMITADA 153GB LMV</t>
  </si>
  <si>
    <t>Llamadas de voz: Máximo 150 destinos por mes y 3000 minutos a fijo y móvil nacional. Una vez superados 150 destinos se tarificará el exceso a 0,10 /minuto y 0,20 de establecimiento de llamada. Excluidas las llamadas a servicios de tarificación especial (901, 902, 70X, etc...), llamadas internacionales y numeración corta. Al consumir los datos de tu tarifa, se activa el Bono 1 Giga, que permite seguir navegando a baja velocidad (16 Kbps.) sin costes adicionales.Si se consume este Bono 1 Giga de baja velocidad, los datos se desactivan hasta el mes siguiente. No se permite el uso de las tarjetas SIM en routers, módems u otros dispositivos de concentración de tráfico, como tampoco su uso compartiendo datos 24 horas al día, o la mayor parte del tiempo</t>
  </si>
  <si>
    <t>Router Backup 4G Monitorizado Movistar 400 GB</t>
  </si>
  <si>
    <t>ILIMITADA 10GB FNW</t>
  </si>
  <si>
    <t>Tarifa Ilimitada Basica VDF</t>
  </si>
  <si>
    <t>ILIMITADA 150GB FNW</t>
  </si>
  <si>
    <t>LPD 250 GB</t>
  </si>
  <si>
    <t>SIM 4G Movilidad Movistar ilimitado preferencia de red</t>
  </si>
  <si>
    <t>Router y ONT de movistar. Permanencia obligatoria 24 meses</t>
  </si>
  <si>
    <t>Router 4G Monitorizado ORANGE 700 GB VADAVO</t>
  </si>
  <si>
    <t>SIM 4G Movilidad Vodafone Thorsten 1.000 GB</t>
  </si>
  <si>
    <t>ILIMITADA 75GB FNW</t>
  </si>
  <si>
    <t>Conexion SATELITE 500 GB</t>
  </si>
  <si>
    <t>Router 4G Monitorizado Vodafone 800 GB VDV</t>
  </si>
  <si>
    <t>SIM 4G Movilidad Vodafone 300 GB</t>
  </si>
  <si>
    <t>ILIMITADA 250GB +</t>
  </si>
  <si>
    <t>Licencia Sesame Advance ANUAL</t>
  </si>
  <si>
    <t>Licencia Microsoft 365 Copilot Business</t>
  </si>
  <si>
    <t>Centralita 3CX 32</t>
  </si>
  <si>
    <t>licencia de 32 canales</t>
  </si>
  <si>
    <t>Router 4G Monitorizado Vodafone 800 GB THR</t>
  </si>
  <si>
    <t>SIM 4G Movilidad Vodafone 300 GB VDV</t>
  </si>
  <si>
    <t>Bono masivo 2000 sms</t>
  </si>
  <si>
    <t>Bono VoIP LATAM 500 min</t>
  </si>
  <si>
    <t>Brasil, Colombia, Costa Rica, México, Paraguay, Perú ,Puerto Rico, República Dominicana, Venezuela</t>
  </si>
  <si>
    <t>Fibra Residencial Especial</t>
  </si>
  <si>
    <t>Voz: 3.000 minutos a móviles y fijos nacionales.&lt;br/&gt;Datos: 15 GB. Superados los datos baja la velocidad durante 1GB y luego se cortan.&lt;br/&gt;Servicio Acumulagigas incluido.&lt;br/&gt;Fuera de tarifa:&lt;br/&gt;Llamadas a móviles y fijos nacionales - 0,0414&lt;br/&gt;Establecimiento de llamada - 0,165&lt;br/&gt;SMS - nacionales 0,148  internacionales UE 0,06  resto países 0,50</t>
  </si>
  <si>
    <t>ILIMITADA 35GB FNW</t>
  </si>
  <si>
    <t>Control Horario Ausarta 17 empleados</t>
  </si>
  <si>
    <t>Licencia Sesame HR TIME ANUAL</t>
  </si>
  <si>
    <t>Numeración inteligente 900</t>
  </si>
  <si>
    <t>Incluye 300 min de llamadas recibidas. Después de los 300 min el precio de las llamadas recibidas será de 0,02€/min desde fijos y 0,045€/min desde móviles.</t>
  </si>
  <si>
    <t>Centralita 3CX 16</t>
  </si>
  <si>
    <t>licencia de 16 canales</t>
  </si>
  <si>
    <t>Centralita 3CX 48</t>
  </si>
  <si>
    <t>Router Backup 4G Monitorizado 300 GB VDF</t>
  </si>
  <si>
    <t>SIM 4G Movilidad Vodafone 800 GB VDV</t>
  </si>
  <si>
    <t>SIM 4G Movilidad Vodafone 350 GB PTV</t>
  </si>
  <si>
    <t>M2M Orange 1 GB</t>
  </si>
  <si>
    <t>ILIMITADA 90GB FNW</t>
  </si>
  <si>
    <t>ILIMITADA 21GB LMV</t>
  </si>
  <si>
    <t>ILIMITADA 50GB FNW</t>
  </si>
  <si>
    <t>ILIMITADA 40GB</t>
  </si>
  <si>
    <t>Voz: 3.000 minutos a móviles y fijos nacionales.&lt;br/&gt;Datos: 40 GB. Superados los datos baja la velocidad durante 1GB y luego se cortan.&lt;br/&gt;Servicio Acumulagigas incluido.&lt;br/&gt;Fuera de tarifa:&lt;br/&gt;Llamadas a móviles y fijos nacionales - 0,0414&lt;br/&gt;Establecimiento de llamada - 0,165&lt;br/&gt;SMS - nacionales 0,148  internacionales UE 0,06  resto países 0,50</t>
  </si>
  <si>
    <t>ILIMITADA 120GB LMV</t>
  </si>
  <si>
    <t>LPD 600 GB</t>
  </si>
  <si>
    <t>LPD 15 GB</t>
  </si>
  <si>
    <t>Licencia Microsoft Power BI Pro</t>
  </si>
  <si>
    <t>Control Horario Ausarta 5 empleados</t>
  </si>
  <si>
    <t>Control Horario Ausarta 25 empleados</t>
  </si>
  <si>
    <t>SIM 4G Movilidad Vodafone 800 GB</t>
  </si>
  <si>
    <t>Tunel Especial</t>
  </si>
  <si>
    <t>VDOM Principal</t>
  </si>
  <si>
    <t>Bono ROYME 1000 min/mes VoiP Marruecos</t>
  </si>
  <si>
    <t>Bono FIJO 5000 min a fijos y moviles nacionales</t>
  </si>
  <si>
    <t>Bono FIJO 20.000 min a fijos y moviles nacionales</t>
  </si>
  <si>
    <t>FTTH FINETWORK 300 Mb</t>
  </si>
  <si>
    <t>FTTH FINETWORK 600 Mb</t>
  </si>
  <si>
    <t>Sota (30 GB)</t>
  </si>
  <si>
    <t xml:space="preserve">Ilimitada: 3000 min. a moviles y fijos nacionales 30 GB. Superados los GB contratados baja la velocidad durante 1GB y luego se cortan. Llamadas a m&amp;oacute viles y fijos nacionales 0.0414&amp;euro . Establecimiento de llamada 0.165&amp;euro  SMS: nacionales 0.10&amp;euro  - internacionales 0.50&amp;euro </t>
  </si>
  <si>
    <t>Sota + (60 GB)</t>
  </si>
  <si>
    <t xml:space="preserve">Ilimitada: 3000 min. a moviles y fijos nacionales 60 GB. Superados los GB contratados baja la velocidad durante 1GB y luego se cortan. Llamadas a m&amp;oacute viles y fijos nacionales 0.0414&amp;euro . Establecimiento de llamada 0.165&amp;euro  SMS: nacionales 0.10&amp;euro  - internacionales 0.50&amp;euro </t>
  </si>
  <si>
    <t>Caballo (50 GB)</t>
  </si>
  <si>
    <t xml:space="preserve">Ilimitada: 3000 min. a moviles y fijos nacionales 50 GB. Superados los GB contratados baja la velocidad durante 1GB y luego se cortan. Llamadas a m&amp;oacute viles y fijos nacionales 0.0414&amp;euro . Establecimiento de llamada 0.165&amp;euro  SMS: nacionales 0.10&amp;euro  - internacionales 0.50&amp;euro </t>
  </si>
  <si>
    <t>Caballo + (100 GB)</t>
  </si>
  <si>
    <t xml:space="preserve">Ilimitada: 3000 min. a moviles y fijos nacionales 100 GB. Superados los GB contratados baja la velocidad durante 1GB y luego se cortan. Llamadas a m&amp;oacute viles y fijos nacionales 0.0414&amp;euro . Establecimiento de llamada 0.165&amp;euro  SMS: nacionales 0.10&amp;euro  - internacionales 0.50&amp;euro </t>
  </si>
  <si>
    <t>Rey (70 GB)</t>
  </si>
  <si>
    <t xml:space="preserve">Ilimitada: 6000 min. a moviles y fijos nacionales 70 GB. Superados los GB contratados baja la velocidad durante 1GB y luego se cortan. Llamadas a m&amp;oacute viles y fijos nacionales 0.0414&amp;euro . Establecimiento de llamada 0.165&amp;euro  SMS: nacionales 0.10&amp;euro  - internacionales 0.50&amp;euro </t>
  </si>
  <si>
    <t>Rey + (140 GB)</t>
  </si>
  <si>
    <t xml:space="preserve">Ilimitada: 6000 min. a moviles y fijos nacionales 140 GB. Superados los GB contratados baja la velocidad durante 1GB y luego se cortan. Llamadas a m&amp;oacute viles y fijos nacionales 0.0414&amp;euro . Establecimiento de llamada 0.165&amp;euro  SMS: nacionales 0.10&amp;euro  - internacionales 0.50&amp;euro </t>
  </si>
  <si>
    <t>Básica 5GB</t>
  </si>
  <si>
    <t xml:space="preserve">3000 min. a m&amp;oacute viles y fijos nacionales 5 GB. Superados los GB contratados baja la velocidad durante 1GB y luego se cortan. Llamadas a m&amp;oacute viles y fijos nacionales 0.0414&amp;euro . Establecimiento de llamada 0.165&amp;euro  SMS: nacionales 0.10&amp;euro  - internacionales 0.50&amp;euro </t>
  </si>
  <si>
    <t>Porta + Baja</t>
  </si>
  <si>
    <t>ILIMITADA 20GB LMV</t>
  </si>
  <si>
    <t>ILIMITADA 51GB LMV</t>
  </si>
  <si>
    <t>ILIMITADA 90GB LMV</t>
  </si>
  <si>
    <t>ILIMITADA 24GB FNW</t>
  </si>
  <si>
    <t>Básica 15GB</t>
  </si>
  <si>
    <t xml:space="preserve">3000 min. a m&amp;oacute viles y fijos nacionales 15 GB. Superados los GB contratados baja la velocidad durante 1GB y luego se cortan. Llamadas a m&amp;oacute viles y fijos nacionales 0.0414&amp;euro . Establecimiento de llamada 0.165&amp;euro  SMS: nacionales 0.10&amp;euro  - internacionales 0.50&amp;euro </t>
  </si>
  <si>
    <t>Básica 15GB + (30GB)</t>
  </si>
  <si>
    <t xml:space="preserve">3000 min. a m&amp;oacute viles y fijos nacionales 30 GB. Superados los GB contratados baja la velocidad durante 1GB y luego se cortan. Llamadas a m&amp;oacute viles y fijos nacionales 0.0414&amp;euro . Establecimiento de llamada 0.165&amp;euro  SMS: nacionales 0.10&amp;euro  - internacionales 0.50&amp;euro </t>
  </si>
  <si>
    <t>Básica 5GB + (10GB)</t>
  </si>
  <si>
    <t xml:space="preserve">3000 min. a m&amp;oacute viles y fijos nacionales 10 GB. Superados los GB contratados baja la velocidad durante 1GB y luego se cortan. Llamadas a m&amp;oacute viles y fijos nacionales 0.0414&amp;euro . Establecimiento de llamada 0.165&amp;euro  SMS: nacionales 0.10&amp;euro  - internacionales 0.50&amp;euro </t>
  </si>
  <si>
    <t>ILIMITADA 60GB LMV</t>
  </si>
  <si>
    <t>Sota (40 GB)</t>
  </si>
  <si>
    <t xml:space="preserve">Ilimitada: 3000 min. a moviles y fijos nacionales 40 GB. Superados los GB contratados baja la velocidad durante 1GB y luego se cortan. Llamadas a m&amp;oacute viles y fijos nacionales 0.04&amp;euro . Establecimiento de llamada 0.165&amp;euro  SMS: nacionales 0.10&amp;euro  - internacionales 0.50&amp;euro </t>
  </si>
  <si>
    <t xml:space="preserve">Ilimitada: 3000 min. a moviles y fijos nacionales 40 GB. Superados los GB contratados baja la velocidad durante 1GB y luego se cortan. Llamadas a móviles y fijos nacionales 0.04&amp;euro . Establecimiento de llamada 0.165€ SMS: nacionales 0.10€ - internacionales 0.50€ </t>
  </si>
  <si>
    <t>Sota + (80 GB)</t>
  </si>
  <si>
    <t xml:space="preserve">Ilimitada: 3000 min. a moviles y fijos nacionales 80 GB. Superados los GB contratados baja la velocidad durante 1GB y luego se cortan. Llamadas a m&amp;oacute viles y fijos nacionales 0.04&amp;euro . Establecimiento de llamada 0.165&amp;euro  SMS: nacionales 0.10&amp;euro  - internacionales 0.50&amp;euro </t>
  </si>
  <si>
    <t>Ilimitada: 3000 min. a moviles y fijos nacionales 80 GB. Superados los GB contratados baja la velocidad durante 1GB y luego se cortan. Llamadas a móviles y fijos nacionales 0.04. Establecimiento de llamada 0.165 SMS: nacionales 0.10 - internacionales 0.50</t>
  </si>
  <si>
    <t>Caballo (60 GB)</t>
  </si>
  <si>
    <t xml:space="preserve">Ilimitada: 3000 min. a moviles y fijos nacionales 60 GB. Superados los GB contratados baja la velocidad durante 1GB y luego se cortan. Llamadas a m&amp;oacute viles y fijos nacionales 0.04&amp;euro . Establecimiento de llamada 0.165&amp;euro  SMS: nacionales 0.10&amp;euro  - internacionales 0.50&amp;euro </t>
  </si>
  <si>
    <t>Caballo + (120 GB)</t>
  </si>
  <si>
    <t xml:space="preserve">Ilimitada: 3000 min. a moviles y fijos nacionales 120 GB. Superados los GB contratados baja la velocidad durante 1GB y luego se cortan. Llamadas a m&amp;oacute viles y fijos nacionales 0.04&amp;euro . Establecimiento de llamada 0.165&amp;euro  SMS: nacionales 0.10&amp;euro  - internacionales 0.50&amp;euro </t>
  </si>
  <si>
    <t>Ilimitada: 3000 min. a moviles y fijos nacionales 120 GB. Superados los GB contratados baja la velocidad durante 1GB y luego se cortan. Llamadas a móviles y fijos nacionales 0.04. Establecimiento de llamada 0.165 SMS: nacionales 0.10 - internacionales 0.50</t>
  </si>
  <si>
    <t>Rey (80 GB)</t>
  </si>
  <si>
    <t xml:space="preserve">Ilimitada: 6000 min. a moviles y fijos nacionales 80 GB. Superados los GB contratados baja la velocidad durante 1GB y luego se cortan. Llamadas a m&amp;oacute viles y fijos nacionales 0.04&amp;euro . Establecimiento de llamada 0.165&amp;euro  SMS: nacionales 0.10&amp;euro  - internacionales 0.50&amp;euro </t>
  </si>
  <si>
    <t>Rey + (160 GB)</t>
  </si>
  <si>
    <t xml:space="preserve">Ilimitada: 6000 min. a moviles y fijos nacionales 160 GB. Superados los GB contratados baja la velocidad durante 1GB y luego se cortan. Llamadas a m&amp;oacute viles y fijos nacionales 0.04&amp;euro . Establecimiento de llamada 0.165&amp;euro  SMS: nacionales 0.10&amp;euro  - internacionales 0.50&amp;euro </t>
  </si>
  <si>
    <t>Ilimitada: 6000 min. a moviles y fijos nacionales 160 GB. Superados los GB contratados baja la velocidad durante 1GB y luego se cortan. Llamadas a móviles y fijos nacionales 0.04. Establecimiento de llamada 0.165 SMS: nacionales 0.10 - internacionales 0.50</t>
  </si>
  <si>
    <t>Básica 7GB</t>
  </si>
  <si>
    <t xml:space="preserve">3000 min. a m&amp;oacute viles y fijos nacionales 7 GB. Superados los GB contratados baja la velocidad durante 1GB y luego se cortan. Llamadas a m&amp;oacute viles y fijos nacionales 0.04&amp;euro . Establecimiento de llamada 0.165&amp;euro  SMS: nacionales 0.10&amp;euro  - internacionales 0.50&amp;euro </t>
  </si>
  <si>
    <t>3000 min. a móviles y fijos nacionales 7 GB. Superados los GB contratados baja la velocidad durante 1GB y luego se cortan. Llamadas a móviles y fijos nacionales 0.04. Establecimiento de llamada 0.165 SMS: nacionales 0.10 - internacionales 0.50</t>
  </si>
  <si>
    <t>Básica 20GB</t>
  </si>
  <si>
    <t xml:space="preserve">3000 min. a m&amp;oacute viles y fijos nacionales 20 GB. Superados los GB contratados baja la velocidad durante 1GB y luego se cortan. Llamadas a m&amp;oacute viles y fijos nacionales 0.04&amp;euro . Establecimiento de llamada 0.165&amp;euro  SMS: nacionales 0.10&amp;euro  - internacionales 0.50&amp;euro </t>
  </si>
  <si>
    <t>3000 min. a móviles y fijos nacionales 20 GB. Superados los GB contratados baja la velocidad durante 1GB y luego se cortan. Llamadas a móviles y fijos nacionales 0.04. Establecimiento de llamada 0.165 SMS: nacionales 0.10 - internacionales 0.50</t>
  </si>
  <si>
    <t>Básica 20GB + (40GB)</t>
  </si>
  <si>
    <t xml:space="preserve">3000 min. a m&amp;oacute viles y fijos nacionales 40 GB. Superados los GB contratados baja la velocidad durante 1GB y luego se cortan. Llamadas a m&amp;oacute viles y fijos nacionales 0.04&amp;euro . Establecimiento de llamada 0.165&amp;euro  SMS: nacionales 0.10&amp;euro  - internacionales 0.50&amp;euro </t>
  </si>
  <si>
    <t>Básica 7GB + (14GB)</t>
  </si>
  <si>
    <t xml:space="preserve">3000 min. a m&amp;oacute viles y fijos nacionales 14 GB. Superados los GB contratados baja la velocidad durante 1GB y luego se cortan. Llamadas a m&amp;oacute viles y fijos nacionales 0.04&amp;euro . Establecimiento de llamada 0.165&amp;euro  SMS: nacionales 0.10&amp;euro  - internacionales 0.50&amp;euro </t>
  </si>
  <si>
    <t>3000 min. a móviles y fijos nacionales 14 GB. Superados los GB contratados baja la velocidad durante 1GB y luego se cortan. Llamadas a móviles y fijos nacionales 0.04. Establecimiento de llamada 0.165 SMS: nacionales 0.10 - internacionales 0.50</t>
  </si>
  <si>
    <t>Movistar DUO EST. BASE</t>
  </si>
  <si>
    <t>Citelia 300 GB</t>
  </si>
  <si>
    <t>Voz: 6.0000 minutos a móviles y fijos nacionales.&lt;br/&gt;Datos: 300 GB. Superados los datos baja la velocidad durante 1GB y luego se cortan.&lt;br/&gt;SMS: 200 nacionales.&lt;br/&gt;Fuera de tarifa - Llamadas a móviles y fijos nacionales 0.0414&lt;br/&gt;Establecimiento de llamada 0.165. SMS: Nacionales 0,10</t>
  </si>
  <si>
    <t>SOLO VOZ</t>
  </si>
  <si>
    <t>Básica 10 GB</t>
  </si>
  <si>
    <t>Básica 25 GB</t>
  </si>
  <si>
    <t>Sota 50 GB</t>
  </si>
  <si>
    <t>Sota + 100 GB</t>
  </si>
  <si>
    <t>Rey + (180 GB)</t>
  </si>
  <si>
    <t>Caballo + (140 GB)</t>
  </si>
  <si>
    <t>Presentación núm de cabecera</t>
  </si>
  <si>
    <t>ILIMITADA 10 GB</t>
  </si>
  <si>
    <t>Voz: 3.000 minutos a móviles y fijos nacionales._x000D_
Datos: 10 GB. Superados los datos baja la velocidad a 16 Kbps._x000D_
Fuera de tarifa:_x000D_
Llamadas a móviles y fijos nacionales - 0,0414€_x000D_
Establecimiento de llamada - 0,165€_x000D_
SMS - nacionales 0,15€  internacionales UE 0,06€  resto países 0,50€</t>
  </si>
  <si>
    <t>ILIMITADA 25GB</t>
  </si>
  <si>
    <t>CITELIA ILIMITADA 40GB</t>
  </si>
  <si>
    <t>Voz: 6.000 minutos a móviles y fijos nacionales._x000D_
Datos: 40 GB. Superados los datos baja la velocidad a 16 Kbps._x000D_
Servicio Acumulagigas incluido._x000D_
Fuera de tarifa:_x000D_
Llamadas a móviles y fijos nacionales - 0,0414€_x000D_
Establecimiento de llamada - 0,165€_x000D_
SMS - nacionales 0,148€  internacionales UE 0,06€  resto países 0,50€</t>
  </si>
  <si>
    <t>LPD 5GB</t>
  </si>
  <si>
    <t>LPD 30GB</t>
  </si>
  <si>
    <t>LPD 100GB</t>
  </si>
  <si>
    <t>LPD 7GB</t>
  </si>
  <si>
    <t>LPD 40GB</t>
  </si>
  <si>
    <t>LPD 120GB</t>
  </si>
  <si>
    <t>LPD 10 GB</t>
  </si>
  <si>
    <t>LPD 50 GB</t>
  </si>
  <si>
    <t>LPD 140 GB</t>
  </si>
  <si>
    <t>LPD 15GB</t>
  </si>
  <si>
    <t>LPD 40 GB</t>
  </si>
  <si>
    <t>Licencia O365 Enterprise E3</t>
  </si>
  <si>
    <t>Licencia O365 Exchange Online KIOSK</t>
  </si>
  <si>
    <t>Licencia Microsoft 365 Empresa Premium</t>
  </si>
  <si>
    <t>CONEXION SATELITE</t>
  </si>
  <si>
    <t>Licencia Microsoft defender O365 (Plan 1)</t>
  </si>
  <si>
    <t>Licencia Microsoft Power BI Premium (usuario)</t>
  </si>
  <si>
    <t>Microsoft 365 E3 EEA</t>
  </si>
  <si>
    <t>Office 365 E3 EEA</t>
  </si>
  <si>
    <t>Microsoft Teams EEA</t>
  </si>
  <si>
    <t>Control Horario Ausarta 10 empleados</t>
  </si>
  <si>
    <t>Control Horario Ausarta 37 empleados</t>
  </si>
  <si>
    <t>Control Horario Ausarta 50 empleados</t>
  </si>
  <si>
    <t>Control Horario Ausarta 75 empleados</t>
  </si>
  <si>
    <t>Control Horario Ausarta 100 empleados</t>
  </si>
  <si>
    <t>Conexión SATELITE 1.000 GB</t>
  </si>
  <si>
    <t>Numeración inteligente 902</t>
  </si>
  <si>
    <t>Centralita 3CX 24</t>
  </si>
  <si>
    <t>licencia de 24 canales</t>
  </si>
  <si>
    <t>Centralita 3CX 64</t>
  </si>
  <si>
    <t>licencia de 64 canales</t>
  </si>
  <si>
    <t>Centralita 3CX 16 canales ENTERPRISE</t>
  </si>
  <si>
    <t>TRUNK SIP 5.000 min/mes a fijos y móviles + 2 canales de voz</t>
  </si>
  <si>
    <t>Router 4G Monitorizado Vodafone 300 GB THR</t>
  </si>
  <si>
    <t>SIM 4G Movilidad Orange ilimitado preferencia de red</t>
  </si>
  <si>
    <t>Router y ONT de Orange. Permanencia obligatoria 24 meses</t>
  </si>
  <si>
    <t>Router 4G Monitorizado Vodafone 300 GB</t>
  </si>
  <si>
    <t>Router 4G Monitorizado Vodafone 800 GB</t>
  </si>
  <si>
    <t>SIM MOVILIDAD ORANGE 700GB VDV</t>
  </si>
  <si>
    <t>M2M MULTIOPERADOR 100 Mb</t>
  </si>
  <si>
    <t>PVP sms nacional 0,15&amp;euro /sms</t>
  </si>
  <si>
    <t>PVP sms nacional 0,15/sms no tienen posibilidad llamadas</t>
  </si>
  <si>
    <t>Bono Roaming 100 min</t>
  </si>
  <si>
    <t>Bono 100 min INTERNACIONALES plus</t>
  </si>
  <si>
    <t>Bono 300 min INTERNACIONALES plus</t>
  </si>
  <si>
    <t>Bono VoIP LATAM 100 min</t>
  </si>
  <si>
    <t>Bono VoIP Asia (Zona 4) 100 min</t>
  </si>
  <si>
    <t>Zona 4: Afghanistan, Bahrain, Bangladesh, Bhutan, Brunei, Cambodia, China, East Timor, Hong Kong, India, Indonesia, Iran, Iraq, Israel, Japan, Jordan, Kazajstán, Kirgistan, Korea South, Kuwait, Kyrgyzstan, Laos, Lebanon, Macau, Malaysia, Mongolia, Myanmar, Nepal, Oman, Pakistan, Palestine, Philippines, Qatar, Saudi Arabia, Singapore, Siria, Sri Lanka, Tadzhikistan, Tailandia, Taiwan, Turkey, Turkmenistan, United Arab Emirates, Uzbekistan, Vietnam, Yemen Arab Rep.</t>
  </si>
  <si>
    <t>Bono VoIP Asia (Zona 4) 500 min</t>
  </si>
  <si>
    <t>Nas 1TB sin alojamiento</t>
  </si>
  <si>
    <t>Incluye equipo, alta, configuracion y soporte. Equipo alojado en instalaciones cliente</t>
  </si>
  <si>
    <t>Nas 1TB con alojamiento</t>
  </si>
  <si>
    <t>Incluye equipo, alta, configuracion y soporte. Equipo alojado en CPD AUSARTA</t>
  </si>
  <si>
    <t>OPERADOR</t>
  </si>
  <si>
    <t>Nombre tarifa operador</t>
  </si>
  <si>
    <t>codigo tarifa operador</t>
  </si>
  <si>
    <t>cobertura</t>
  </si>
  <si>
    <t>Entidad que negocia</t>
  </si>
  <si>
    <t>PVP Operador con IVA</t>
  </si>
  <si>
    <t>PVP Operador sin IVA</t>
  </si>
  <si>
    <t>Umbral unidades para descuento</t>
  </si>
  <si>
    <t>% Descuento</t>
  </si>
  <si>
    <t>Descuento</t>
  </si>
  <si>
    <t>Coste Ausarta</t>
  </si>
  <si>
    <t xml:space="preserve">PVP </t>
  </si>
  <si>
    <t>Ruta documento contrato</t>
  </si>
  <si>
    <t>AIRE</t>
  </si>
  <si>
    <t>Citelia Ilimitada 40 GB-Especial</t>
  </si>
  <si>
    <t xml:space="preserve"> CTI40GB_NA</t>
  </si>
  <si>
    <t>Movistar</t>
  </si>
  <si>
    <t>Citelia</t>
  </si>
  <si>
    <t>Citelia Ilimitada 80 GB-Especial</t>
  </si>
  <si>
    <t>CTI80GB_NA</t>
  </si>
  <si>
    <t>Citelia ilimitada 15GB</t>
  </si>
  <si>
    <t>TCI15GB</t>
  </si>
  <si>
    <t>Citelia Ilimitada Voz + 80GB</t>
  </si>
  <si>
    <t>TCIV80GB</t>
  </si>
  <si>
    <t>FLASO</t>
  </si>
  <si>
    <t>CTI100GB_aGB</t>
  </si>
  <si>
    <t>Citelia ilimitada 250GB</t>
  </si>
  <si>
    <t>CTI250GBaGB</t>
  </si>
  <si>
    <t>Citelia ilimitada Total</t>
  </si>
  <si>
    <t>TCIT500GB</t>
  </si>
  <si>
    <t>Citelia ilimitada 250GB + doble gigas</t>
  </si>
  <si>
    <t xml:space="preserve">55% 54,5% </t>
  </si>
  <si>
    <t>HOMESPOT (Thorsten)</t>
  </si>
  <si>
    <t>Flat 1.000 GB Citelia</t>
  </si>
  <si>
    <t>Vodafone</t>
  </si>
  <si>
    <t>Cuota Línea FTTH 300 Mbps (1 uds.)</t>
  </si>
  <si>
    <t>Telefónica</t>
  </si>
  <si>
    <t>Telefónica/orange</t>
  </si>
  <si>
    <t>Ornage</t>
  </si>
  <si>
    <t>Adamo</t>
  </si>
  <si>
    <t>Masmovil</t>
  </si>
  <si>
    <t>Telfónica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</si>
</sst>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6" fillId="0" borderId="0" xfId="0" applyFont="1"/>
    <xf numFmtId="164" fontId="16" fillId="0" borderId="0" xfId="42" applyNumberFormat="1" applyFont="1"/>
    <xf numFmtId="9" fontId="0" fillId="0" borderId="0" xfId="43" applyFont="1" applyAlignment="1">
      <alignment wrapText="1"/>
    </xf>
    <xf numFmtId="9" fontId="0" fillId="0" borderId="0" xfId="0" applyNumberFormat="1" applyAlignment="1">
      <alignment wrapText="1"/>
    </xf>
    <xf numFmtId="0" fontId="16" fillId="0" borderId="0" xfId="0" applyFont="1" applyAlignment="1">
      <alignment wrapText="1"/>
    </xf>
    <xf numFmtId="0" fontId="16" fillId="0" borderId="0" xfId="0" applyFont="1" applyAlignment="1">
      <alignment horizontal="right" wrapText="1"/>
    </xf>
    <xf numFmtId="2" fontId="0" fillId="0" borderId="0" xfId="0" applyNumberFormat="1" applyAlignment="1">
      <alignment wrapText="1"/>
    </xf>
    <xf numFmtId="0" fontId="16" fillId="33" borderId="0" xfId="0" applyFont="1" applyFill="1" applyAlignment="1">
      <alignment wrapText="1"/>
    </xf>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xfId="42" builtinId="3"/>
    <cellStyle name="Neutral" xfId="8" builtinId="28" customBuiltin="1"/>
    <cellStyle name="Normal" xfId="0" builtinId="0"/>
    <cellStyle name="Notas" xfId="15" builtinId="10" customBuiltin="1"/>
    <cellStyle name="Porcentaje" xfId="43"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Ortega" refreshedDate="46097.393609837964" createdVersion="8" refreshedVersion="8" minRefreshableVersion="3" recordCount="191" xr:uid="{222CDE23-167B-47A9-BA77-8CD479B27947}">
  <cacheSource type="worksheet">
    <worksheetSource ref="A1:AJ194" sheet="informe CRM"/>
  </cacheSource>
  <cacheFields count="37">
    <cacheField name="ID" numFmtId="0">
      <sharedItems containsSemiMixedTypes="0" containsString="0" containsNumber="1" containsInteger="1" minValue="17" maxValue="249"/>
    </cacheField>
    <cacheField name="familia" numFmtId="0">
      <sharedItems count="11">
        <s v="Fibras"/>
        <s v="Líneas Móviles"/>
        <s v="LPD"/>
        <s v="Licencias"/>
        <s v="Número Fijo"/>
        <s v="Centralita"/>
        <s v="Router 4G"/>
        <s v="M2M"/>
        <s v="Firewalls"/>
        <s v="Bonos"/>
        <s v="NAS"/>
      </sharedItems>
    </cacheField>
    <cacheField name="Nombre" numFmtId="0">
      <sharedItems/>
    </cacheField>
    <cacheField name="Tipo de servicio" numFmtId="0">
      <sharedItems/>
    </cacheField>
    <cacheField name="Descripción contractual" numFmtId="0">
      <sharedItems containsBlank="1" longText="1"/>
    </cacheField>
    <cacheField name="Información comercial" numFmtId="0">
      <sharedItems containsBlank="1" longText="1"/>
    </cacheField>
    <cacheField name="Ofertable" numFmtId="0">
      <sharedItems/>
    </cacheField>
    <cacheField name="Activable" numFmtId="0">
      <sharedItems/>
    </cacheField>
    <cacheField name="Precio operador" numFmtId="0">
      <sharedItems containsSemiMixedTypes="0" containsString="0" containsNumber="1" minValue="0" maxValue="39"/>
    </cacheField>
    <cacheField name="Precio coste" numFmtId="0">
      <sharedItems containsSemiMixedTypes="0" containsString="0" containsNumber="1" minValue="0" maxValue="300" count="102">
        <n v="40"/>
        <n v="27"/>
        <n v="22.53"/>
        <n v="19"/>
        <n v="65"/>
        <n v="24.81"/>
        <n v="24"/>
        <n v="6.21"/>
        <n v="6.74"/>
        <n v="8.33"/>
        <n v="8.86"/>
        <n v="10.44"/>
        <n v="10.98"/>
        <n v="4.5999999999999996"/>
        <n v="0.3"/>
        <n v="5"/>
        <n v="5.6"/>
        <n v="8.6999999999999993"/>
        <n v="5.76"/>
        <n v="6.33"/>
        <n v="5.18"/>
        <n v="7.36"/>
        <n v="9.01"/>
        <n v="13.4"/>
        <n v="6.79"/>
        <n v="8.91"/>
        <n v="11.03"/>
        <n v="5.75"/>
        <n v="6.34"/>
        <n v="12"/>
        <n v="11.7"/>
        <n v="19.899999999999999"/>
        <n v="0"/>
        <n v="4.18"/>
        <n v="12.18"/>
        <n v="9.49"/>
        <n v="8"/>
        <n v="3.99"/>
        <n v="8.6199999999999992"/>
        <n v="8.0399999999999991"/>
        <n v="5.26"/>
        <n v="4.37"/>
        <n v="18.899999999999999"/>
        <n v="30"/>
        <n v="10"/>
        <n v="3.94"/>
        <n v="4.6399999999999997"/>
        <n v="4.6900000000000004"/>
        <n v="4.82"/>
        <n v="8.25"/>
        <n v="8.18"/>
        <n v="5.27"/>
        <n v="4.3899999999999997"/>
        <n v="5.66"/>
        <n v="11.66"/>
        <n v="16.39"/>
        <n v="1.55"/>
        <n v="11.5"/>
        <n v="3.77"/>
        <n v="17.059999999999999"/>
        <n v="82"/>
        <n v="2.4500000000000002"/>
        <n v="7.77"/>
        <n v="15.45"/>
        <n v="7.5"/>
        <n v="35.700000000000003"/>
        <n v="23.1"/>
        <n v="9.8000000000000007"/>
        <n v="3.15"/>
        <n v="17"/>
        <n v="25"/>
        <n v="37"/>
        <n v="50"/>
        <n v="75"/>
        <n v="100"/>
        <n v="300"/>
        <n v="230"/>
        <n v="3.68"/>
        <n v="16.89"/>
        <n v="3"/>
        <n v="35.42"/>
        <n v="41.67"/>
        <n v="103.75"/>
        <n v="138.75"/>
        <n v="263.75"/>
        <n v="205.42"/>
        <n v="32"/>
        <n v="52"/>
        <n v="23"/>
        <n v="15"/>
        <n v="39"/>
        <n v="0.75"/>
        <n v="2"/>
        <n v="6"/>
        <n v="90"/>
        <n v="60"/>
        <n v="20"/>
        <n v="28.93"/>
        <n v="4.05"/>
        <n v="9.84"/>
        <n v="99"/>
        <n v="80"/>
      </sharedItems>
    </cacheField>
    <cacheField name="Coste comercial" numFmtId="0">
      <sharedItems containsSemiMixedTypes="0" containsString="0" containsNumber="1" minValue="0" maxValue="230"/>
    </cacheField>
    <cacheField name="Coste comercial (anexo)" numFmtId="0">
      <sharedItems containsSemiMixedTypes="0" containsString="0" containsNumber="1" minValue="0" maxValue="230"/>
    </cacheField>
    <cacheField name="Precio venta mínimo" numFmtId="0">
      <sharedItems containsSemiMixedTypes="0" containsString="0" containsNumber="1" minValue="0" maxValue="300"/>
    </cacheField>
    <cacheField name="Precio venta mínimo (anexo)" numFmtId="0">
      <sharedItems containsSemiMixedTypes="0" containsString="0" containsNumber="1" minValue="0" maxValue="300"/>
    </cacheField>
    <cacheField name="PVP recomendado" numFmtId="0">
      <sharedItems containsSemiMixedTypes="0" containsString="0" containsNumber="1" minValue="0" maxValue="350"/>
    </cacheField>
    <cacheField name="Uds totales activas" numFmtId="0">
      <sharedItems containsSemiMixedTypes="0" containsString="0" containsNumber="1" containsInteger="1" minValue="0" maxValue="6387"/>
    </cacheField>
    <cacheField name="provedor 1" numFmtId="0">
      <sharedItems containsBlank="1" count="14">
        <m/>
        <s v="Citelia-Telefonica"/>
        <s v="Citelia-Aire"/>
        <s v="Fi Network"/>
        <s v="Lemonvil"/>
        <s v="Citelia-Ptv"/>
        <s v="vodafone"/>
        <s v="Aire"/>
        <s v="Desconocido"/>
        <s v="PORTANET"/>
        <s v="Imatel"/>
        <s v="Vadavo"/>
        <s v="movistar"/>
        <s v="Thorsten"/>
      </sharedItems>
    </cacheField>
    <cacheField name="Uds. Activas Proveedor 1" numFmtId="0">
      <sharedItems containsString="0" containsBlank="1" containsNumber="1" containsInteger="1" minValue="1" maxValue="3493"/>
    </cacheField>
    <cacheField name="provedor 2" numFmtId="0">
      <sharedItems containsBlank="1" count="11">
        <m/>
        <s v="Citelia-Aire"/>
        <s v="Citelia-Sarenet"/>
        <s v="Citelia-Masmovil"/>
        <s v="movistar"/>
        <s v="Aire"/>
        <s v="Desconocido"/>
        <s v="Vadavo"/>
        <s v="Citelia-Ptv"/>
        <s v="Citelia-Telefonica"/>
        <s v="Citelia-Orange"/>
      </sharedItems>
    </cacheField>
    <cacheField name="Uds. Activas Proveedor 2" numFmtId="0">
      <sharedItems containsString="0" containsBlank="1" containsNumber="1" containsInteger="1" minValue="1" maxValue="2894"/>
    </cacheField>
    <cacheField name="provedor 3" numFmtId="0">
      <sharedItems containsBlank="1"/>
    </cacheField>
    <cacheField name="Uds. Activas Proveedor 3" numFmtId="0">
      <sharedItems containsString="0" containsBlank="1" containsNumber="1" containsInteger="1" minValue="1" maxValue="50"/>
    </cacheField>
    <cacheField name="provedor 4" numFmtId="0">
      <sharedItems containsBlank="1"/>
    </cacheField>
    <cacheField name="Uds. Activas Proveedor 4" numFmtId="0">
      <sharedItems containsString="0" containsBlank="1" containsNumber="1" containsInteger="1" minValue="1" maxValue="37"/>
    </cacheField>
    <cacheField name="provedor 5" numFmtId="0">
      <sharedItems containsBlank="1"/>
    </cacheField>
    <cacheField name="Uds. Activas Proveedor 5" numFmtId="0">
      <sharedItems containsString="0" containsBlank="1" containsNumber="1" containsInteger="1" minValue="2" maxValue="31"/>
    </cacheField>
    <cacheField name="provedor 6" numFmtId="0">
      <sharedItems containsBlank="1"/>
    </cacheField>
    <cacheField name="Uds. Activas Proveedor 6" numFmtId="0">
      <sharedItems containsString="0" containsBlank="1" containsNumber="1" containsInteger="1" minValue="1" maxValue="7"/>
    </cacheField>
    <cacheField name="requisito-ICC" numFmtId="0">
      <sharedItems containsNonDate="0" containsString="0" containsBlank="1"/>
    </cacheField>
    <cacheField name="requisito-SERVICIO BACK-UP" numFmtId="0">
      <sharedItems containsNonDate="0" containsString="0" containsBlank="1"/>
    </cacheField>
    <cacheField name="requisito-ORDEN DE TRABAJO" numFmtId="0">
      <sharedItems containsNonDate="0" containsString="0" containsBlank="1"/>
    </cacheField>
    <cacheField name="requisito-CONTROL TECNICO" numFmtId="0">
      <sharedItems containsNonDate="0" containsString="0" containsBlank="1"/>
    </cacheField>
    <cacheField name="requisito-MONITORIZACION NOC" numFmtId="0">
      <sharedItems containsNonDate="0" containsString="0" containsBlank="1"/>
    </cacheField>
    <cacheField name="requisito-REGISTRAR EN PLANNER" numFmtId="0">
      <sharedItems containsNonDate="0" containsString="0" containsBlank="1"/>
    </cacheField>
    <cacheField name="requisito-Excell de actuvaciones" numFmtId="0">
      <sharedItems containsNonDate="0" containsString="0" containsBlank="1"/>
    </cacheField>
    <cacheField name="Activo" numFmtId="0">
      <sharedItems containsNonDate="0" containsString="0" containsBlank="1"/>
    </cacheField>
    <cacheField name="Coste Total Ausarta" numFmtId="0" formula="'Uds totales activas'*'Precio cost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34"/>
    <x v="0"/>
    <s v="FTTH FINETWORK 300 Mb"/>
    <s v="fibra"/>
    <m/>
    <m/>
    <s v="No"/>
    <s v="Sí"/>
    <n v="0"/>
    <x v="0"/>
    <n v="24"/>
    <n v="24"/>
    <n v="40"/>
    <n v="40"/>
    <n v="60"/>
    <n v="0"/>
    <x v="0"/>
    <m/>
    <x v="0"/>
    <m/>
    <m/>
    <m/>
    <m/>
    <m/>
    <m/>
    <m/>
    <m/>
    <m/>
    <m/>
    <m/>
    <m/>
    <m/>
    <m/>
    <m/>
    <m/>
    <m/>
  </r>
  <r>
    <n v="35"/>
    <x v="0"/>
    <s v="FTTH FINETWORK 600 Mb"/>
    <s v="fibra"/>
    <m/>
    <m/>
    <s v="No"/>
    <s v="Sí"/>
    <n v="0"/>
    <x v="1"/>
    <n v="27"/>
    <n v="27"/>
    <n v="45"/>
    <n v="45"/>
    <n v="80"/>
    <n v="0"/>
    <x v="0"/>
    <m/>
    <x v="0"/>
    <m/>
    <m/>
    <m/>
    <m/>
    <m/>
    <m/>
    <m/>
    <m/>
    <m/>
    <m/>
    <m/>
    <m/>
    <m/>
    <m/>
    <m/>
    <m/>
    <m/>
  </r>
  <r>
    <n v="64"/>
    <x v="0"/>
    <s v="Fibra residencial 300MB"/>
    <s v="fibra"/>
    <m/>
    <s v="Router y ONT de movistar. Permanencia obligatoria 12 meses. No se pueden poner puestos de VoIP"/>
    <s v="Sí"/>
    <s v="Sí"/>
    <n v="0"/>
    <x v="2"/>
    <n v="25"/>
    <n v="25"/>
    <n v="40"/>
    <n v="40"/>
    <n v="50"/>
    <n v="203"/>
    <x v="1"/>
    <n v="202"/>
    <x v="1"/>
    <n v="1"/>
    <m/>
    <m/>
    <m/>
    <m/>
    <m/>
    <m/>
    <m/>
    <m/>
    <m/>
    <m/>
    <m/>
    <m/>
    <m/>
    <m/>
    <m/>
    <m/>
  </r>
  <r>
    <n v="100"/>
    <x v="0"/>
    <s v="Fibra Profesional"/>
    <s v="fibra"/>
    <m/>
    <s v="Router y ONT Ausarta. Fibra monitorizada. Posibilidad de backup 4G o Fibra dual manteniendo misma IP"/>
    <s v="Sí"/>
    <s v="Sí"/>
    <n v="0"/>
    <x v="3"/>
    <n v="28"/>
    <n v="28"/>
    <n v="40"/>
    <n v="45"/>
    <n v="50"/>
    <n v="999"/>
    <x v="2"/>
    <n v="518"/>
    <x v="2"/>
    <n v="349"/>
    <s v="Citelia-Orange"/>
    <n v="50"/>
    <s v="Citelia-Adamo"/>
    <n v="37"/>
    <s v="Citelia-Masmovil"/>
    <n v="31"/>
    <s v="Citelia-Soastel"/>
    <n v="7"/>
    <m/>
    <m/>
    <m/>
    <m/>
    <m/>
    <m/>
    <m/>
    <m/>
  </r>
  <r>
    <n v="134"/>
    <x v="0"/>
    <s v="Fibra Residencial Especial"/>
    <s v="fibra"/>
    <m/>
    <m/>
    <s v="No"/>
    <s v="Sí"/>
    <n v="0"/>
    <x v="4"/>
    <n v="41.1"/>
    <n v="41.1"/>
    <n v="65"/>
    <n v="65"/>
    <n v="80"/>
    <n v="2"/>
    <x v="1"/>
    <n v="1"/>
    <x v="3"/>
    <n v="1"/>
    <m/>
    <m/>
    <m/>
    <m/>
    <m/>
    <m/>
    <m/>
    <m/>
    <m/>
    <m/>
    <m/>
    <m/>
    <m/>
    <m/>
    <m/>
    <m/>
  </r>
  <r>
    <n v="174"/>
    <x v="0"/>
    <s v="Fibra residencial 1GB"/>
    <s v="fibra"/>
    <m/>
    <m/>
    <s v="Sí"/>
    <s v="Sí"/>
    <n v="0"/>
    <x v="5"/>
    <n v="28"/>
    <n v="28"/>
    <n v="45"/>
    <n v="45"/>
    <n v="55"/>
    <n v="93"/>
    <x v="1"/>
    <n v="93"/>
    <x v="0"/>
    <m/>
    <m/>
    <m/>
    <m/>
    <m/>
    <m/>
    <m/>
    <m/>
    <m/>
    <m/>
    <m/>
    <m/>
    <m/>
    <m/>
    <m/>
    <m/>
    <m/>
  </r>
  <r>
    <n v="175"/>
    <x v="0"/>
    <s v="Fibra PRO Max Velocidad"/>
    <s v="fibra"/>
    <m/>
    <m/>
    <s v="Sí"/>
    <s v="Sí"/>
    <n v="0"/>
    <x v="6"/>
    <n v="30"/>
    <n v="30"/>
    <n v="45"/>
    <n v="55"/>
    <n v="55"/>
    <n v="726"/>
    <x v="2"/>
    <n v="608"/>
    <x v="2"/>
    <n v="45"/>
    <s v="Citelia-Masmovil"/>
    <n v="31"/>
    <s v="Citelia-Orange"/>
    <n v="25"/>
    <s v="Citelia-Adamo"/>
    <n v="17"/>
    <m/>
    <m/>
    <m/>
    <m/>
    <m/>
    <m/>
    <m/>
    <m/>
    <m/>
    <m/>
  </r>
  <r>
    <n v="46"/>
    <x v="1"/>
    <s v="Sota (30 GB)"/>
    <s v="tarifa"/>
    <s v="Ilimitada: 3000 min. a moviles y fijos nacionales 30 GB. Superados los GB contratados baja la velocidad durante 1GB y luego se cortan. Llamadas a m&amp;oacute viles y fijos nacionales 0.0414&amp;euro . Establecimiento de llamada 0.165&amp;euro  SMS: nacionales 0.10&amp;euro  - internacionales 0.50&amp;euro "/>
    <s v="Ilimitada: 3000 min. a moviles y fijos nacionales 30 GB. Superados los GB contratados baja la velocidad durante 1GB y luego se cortan. Llamadas a m&amp;oacute viles y fijos nacionales 0.0414&amp;euro . Establecimiento de llamada 0.165&amp;euro  SMS: nacionales 0.10&amp;euro  - internacionales 0.50&amp;euro "/>
    <s v="No"/>
    <s v="No"/>
    <n v="0"/>
    <x v="7"/>
    <n v="0"/>
    <n v="0"/>
    <n v="0"/>
    <n v="0"/>
    <n v="12.9"/>
    <n v="0"/>
    <x v="0"/>
    <m/>
    <x v="0"/>
    <m/>
    <m/>
    <m/>
    <m/>
    <m/>
    <m/>
    <m/>
    <m/>
    <m/>
    <m/>
    <m/>
    <m/>
    <m/>
    <m/>
    <m/>
    <m/>
    <m/>
  </r>
  <r>
    <n v="47"/>
    <x v="1"/>
    <s v="Sota + (60 GB)"/>
    <s v="tarifa"/>
    <s v="Ilimitada: 3000 min. a moviles y fijos nacionales 60 GB. Superados los GB contratados baja la velocidad durante 1GB y luego se cortan. Llamadas a m&amp;oacute viles y fijos nacionales 0.0414&amp;euro . Establecimiento de llamada 0.165&amp;euro  SMS: nacionales 0.10&amp;euro  - internacionales 0.50&amp;euro "/>
    <s v="Ilimitada: 3000 min. a moviles y fijos nacionales 60 GB. Superados los GB contratados baja la velocidad durante 1GB y luego se cortan. Llamadas a m&amp;oacute viles y fijos nacionales 0.0414&amp;euro . Establecimiento de llamada 0.165&amp;euro  SMS: nacionales 0.10&amp;euro  - internacionales 0.50&amp;euro "/>
    <s v="No"/>
    <s v="No"/>
    <n v="0"/>
    <x v="8"/>
    <n v="0"/>
    <n v="0"/>
    <n v="0"/>
    <n v="0"/>
    <n v="0"/>
    <n v="0"/>
    <x v="0"/>
    <m/>
    <x v="0"/>
    <m/>
    <m/>
    <m/>
    <m/>
    <m/>
    <m/>
    <m/>
    <m/>
    <m/>
    <m/>
    <m/>
    <m/>
    <m/>
    <m/>
    <m/>
    <m/>
    <m/>
  </r>
  <r>
    <n v="48"/>
    <x v="1"/>
    <s v="Caballo (50 GB)"/>
    <s v="tarifa"/>
    <s v="Ilimitada: 3000 min. a moviles y fijos nacionales 50 GB. Superados los GB contratados baja la velocidad durante 1GB y luego se cortan. Llamadas a m&amp;oacute viles y fijos nacionales 0.0414&amp;euro . Establecimiento de llamada 0.165&amp;euro  SMS: nacionales 0.10&amp;euro  - internacionales 0.50&amp;euro "/>
    <s v="Ilimitada: 3000 min. a moviles y fijos nacionales 50 GB. Superados los GB contratados baja la velocidad durante 1GB y luego se cortan. Llamadas a m&amp;oacute viles y fijos nacionales 0.0414&amp;euro . Establecimiento de llamada 0.165&amp;euro  SMS: nacionales 0.10&amp;euro  - internacionales 0.50&amp;euro "/>
    <s v="No"/>
    <s v="No"/>
    <n v="0"/>
    <x v="9"/>
    <n v="0"/>
    <n v="0"/>
    <n v="0"/>
    <n v="0"/>
    <n v="0"/>
    <n v="0"/>
    <x v="0"/>
    <m/>
    <x v="0"/>
    <m/>
    <m/>
    <m/>
    <m/>
    <m/>
    <m/>
    <m/>
    <m/>
    <m/>
    <m/>
    <m/>
    <m/>
    <m/>
    <m/>
    <m/>
    <m/>
    <m/>
  </r>
  <r>
    <n v="49"/>
    <x v="1"/>
    <s v="Caballo + (100 GB)"/>
    <s v="tarifa"/>
    <s v="Ilimitada: 3000 min. a moviles y fijos nacionales 100 GB. Superados los GB contratados baja la velocidad durante 1GB y luego se cortan. Llamadas a m&amp;oacute viles y fijos nacionales 0.0414&amp;euro . Establecimiento de llamada 0.165&amp;euro  SMS: nacionales 0.10&amp;euro  - internacionales 0.50&amp;euro "/>
    <s v="Ilimitada: 3000 min. a moviles y fijos nacionales 100 GB. Superados los GB contratados baja la velocidad durante 1GB y luego se cortan. Llamadas a m&amp;oacute viles y fijos nacionales 0.0414&amp;euro . Establecimiento de llamada 0.165&amp;euro  SMS: nacionales 0.10&amp;euro  - internacionales 0.50&amp;euro "/>
    <s v="No"/>
    <s v="No"/>
    <n v="0"/>
    <x v="10"/>
    <n v="0"/>
    <n v="0"/>
    <n v="0"/>
    <n v="0"/>
    <n v="0"/>
    <n v="0"/>
    <x v="0"/>
    <m/>
    <x v="0"/>
    <m/>
    <m/>
    <m/>
    <m/>
    <m/>
    <m/>
    <m/>
    <m/>
    <m/>
    <m/>
    <m/>
    <m/>
    <m/>
    <m/>
    <m/>
    <m/>
    <m/>
  </r>
  <r>
    <n v="50"/>
    <x v="1"/>
    <s v="Rey (70 GB)"/>
    <s v="tarifa"/>
    <s v="Ilimitada: 6000 min. a moviles y fijos nacionales 70 GB. Superados los GB contratados baja la velocidad durante 1GB y luego se cortan. Llamadas a m&amp;oacute viles y fijos nacionales 0.0414&amp;euro . Establecimiento de llamada 0.165&amp;euro  SMS: nacionales 0.10&amp;euro  - internacionales 0.50&amp;euro "/>
    <s v="Ilimitada: 6000 min. a moviles y fijos nacionales 70 GB. Superados los GB contratados baja la velocidad durante 1GB y luego se cortan. Llamadas a m&amp;oacute viles y fijos nacionales 0.0414&amp;euro . Establecimiento de llamada 0.165&amp;euro  SMS: nacionales 0.10&amp;euro  - internacionales 0.50&amp;euro "/>
    <s v="No"/>
    <s v="No"/>
    <n v="0"/>
    <x v="11"/>
    <n v="0"/>
    <n v="0"/>
    <n v="0"/>
    <n v="0"/>
    <n v="0"/>
    <n v="0"/>
    <x v="0"/>
    <m/>
    <x v="0"/>
    <m/>
    <m/>
    <m/>
    <m/>
    <m/>
    <m/>
    <m/>
    <m/>
    <m/>
    <m/>
    <m/>
    <m/>
    <m/>
    <m/>
    <m/>
    <m/>
    <m/>
  </r>
  <r>
    <n v="51"/>
    <x v="1"/>
    <s v="Rey + (140 GB)"/>
    <s v="tarifa"/>
    <s v="Ilimitada: 6000 min. a moviles y fijos nacionales 140 GB. Superados los GB contratados baja la velocidad durante 1GB y luego se cortan. Llamadas a m&amp;oacute viles y fijos nacionales 0.0414&amp;euro . Establecimiento de llamada 0.165&amp;euro  SMS: nacionales 0.10&amp;euro  - internacionales 0.50&amp;euro "/>
    <s v="Ilimitada: 6000 min. a moviles y fijos nacionales 140 GB. Superados los GB contratados baja la velocidad durante 1GB y luego se cortan. Llamadas a m&amp;oacute viles y fijos nacionales 0.0414&amp;euro . Establecimiento de llamada 0.165&amp;euro  SMS: nacionales 0.10&amp;euro  - internacionales 0.50&amp;euro "/>
    <s v="No"/>
    <s v="No"/>
    <n v="0"/>
    <x v="12"/>
    <n v="0"/>
    <n v="0"/>
    <n v="0"/>
    <n v="0"/>
    <n v="0"/>
    <n v="0"/>
    <x v="0"/>
    <m/>
    <x v="0"/>
    <m/>
    <m/>
    <m/>
    <m/>
    <m/>
    <m/>
    <m/>
    <m/>
    <m/>
    <m/>
    <m/>
    <m/>
    <m/>
    <m/>
    <m/>
    <m/>
    <m/>
  </r>
  <r>
    <n v="52"/>
    <x v="1"/>
    <s v="Básica 5GB"/>
    <s v="tarifa"/>
    <s v="3000 min. a m&amp;oacute viles y fijos nacionales 5 GB. Superados los GB contratados baja la velocidad durante 1GB y luego se cortan. Llamadas a m&amp;oacute viles y fijos nacionales 0.0414&amp;euro . Establecimiento de llamada 0.165&amp;euro  SMS: nacionales 0.10&amp;euro  - internacionales 0.50&amp;euro "/>
    <s v="3000 min. a m&amp;oacute viles y fijos nacionales 5 GB. Superados los GB contratados baja la velocidad durante 1GB y luego se cortan. Llamadas a m&amp;oacute viles y fijos nacionales 0.0414&amp;euro . Establecimiento de llamada 0.165&amp;euro  SMS: nacionales 0.10&amp;euro  - internacionales 0.50&amp;euro "/>
    <s v="No"/>
    <s v="No"/>
    <n v="0"/>
    <x v="13"/>
    <n v="0"/>
    <n v="0"/>
    <n v="0"/>
    <n v="0"/>
    <n v="9.9"/>
    <n v="0"/>
    <x v="0"/>
    <m/>
    <x v="0"/>
    <m/>
    <m/>
    <m/>
    <m/>
    <m/>
    <m/>
    <m/>
    <m/>
    <m/>
    <m/>
    <m/>
    <m/>
    <m/>
    <m/>
    <m/>
    <m/>
    <m/>
  </r>
  <r>
    <n v="54"/>
    <x v="1"/>
    <s v="Porta + Baja"/>
    <s v="tarifa"/>
    <m/>
    <m/>
    <s v="Sí"/>
    <s v="Sí"/>
    <n v="0"/>
    <x v="14"/>
    <n v="0.3"/>
    <n v="0.3"/>
    <n v="0"/>
    <n v="0"/>
    <n v="0"/>
    <n v="0"/>
    <x v="0"/>
    <m/>
    <x v="0"/>
    <m/>
    <m/>
    <m/>
    <m/>
    <m/>
    <m/>
    <m/>
    <m/>
    <m/>
    <m/>
    <m/>
    <m/>
    <m/>
    <m/>
    <m/>
    <m/>
    <m/>
  </r>
  <r>
    <n v="60"/>
    <x v="1"/>
    <s v="ILIMITADA 20GB LMV"/>
    <s v="tarifa"/>
    <m/>
    <m/>
    <s v="No"/>
    <s v="No"/>
    <n v="0"/>
    <x v="8"/>
    <n v="0"/>
    <n v="0"/>
    <n v="0"/>
    <n v="0"/>
    <n v="0"/>
    <n v="0"/>
    <x v="0"/>
    <m/>
    <x v="0"/>
    <m/>
    <m/>
    <m/>
    <m/>
    <m/>
    <m/>
    <m/>
    <m/>
    <m/>
    <m/>
    <m/>
    <m/>
    <m/>
    <m/>
    <m/>
    <m/>
    <m/>
  </r>
  <r>
    <n v="61"/>
    <x v="1"/>
    <s v="ILIMITADA 51GB LMV"/>
    <s v="tarifa"/>
    <m/>
    <m/>
    <s v="No"/>
    <s v="No"/>
    <n v="0"/>
    <x v="10"/>
    <n v="0"/>
    <n v="0"/>
    <n v="0"/>
    <n v="0"/>
    <n v="0"/>
    <n v="0"/>
    <x v="0"/>
    <m/>
    <x v="0"/>
    <m/>
    <m/>
    <m/>
    <m/>
    <m/>
    <m/>
    <m/>
    <m/>
    <m/>
    <m/>
    <m/>
    <m/>
    <m/>
    <m/>
    <m/>
    <m/>
    <m/>
  </r>
  <r>
    <n v="62"/>
    <x v="1"/>
    <s v="ILIMITADA 90GB LMV"/>
    <s v="tarifa"/>
    <m/>
    <m/>
    <s v="No"/>
    <s v="No"/>
    <n v="0"/>
    <x v="12"/>
    <n v="0"/>
    <n v="0"/>
    <n v="0"/>
    <n v="0"/>
    <n v="0"/>
    <n v="0"/>
    <x v="0"/>
    <m/>
    <x v="0"/>
    <m/>
    <m/>
    <m/>
    <m/>
    <m/>
    <m/>
    <m/>
    <m/>
    <m/>
    <m/>
    <m/>
    <m/>
    <m/>
    <m/>
    <m/>
    <m/>
    <m/>
  </r>
  <r>
    <n v="75"/>
    <x v="1"/>
    <s v="ILIMITADA 10GB FNW"/>
    <s v="tarifa"/>
    <m/>
    <m/>
    <s v="No"/>
    <s v="No"/>
    <n v="0"/>
    <x v="15"/>
    <n v="0"/>
    <n v="0"/>
    <n v="0"/>
    <n v="0"/>
    <n v="0"/>
    <n v="6"/>
    <x v="3"/>
    <n v="6"/>
    <x v="0"/>
    <m/>
    <m/>
    <m/>
    <m/>
    <m/>
    <m/>
    <m/>
    <m/>
    <m/>
    <m/>
    <m/>
    <m/>
    <m/>
    <m/>
    <m/>
    <m/>
    <m/>
  </r>
  <r>
    <n v="76"/>
    <x v="1"/>
    <s v="ILIMITADA 24GB FNW"/>
    <s v="tarifa"/>
    <m/>
    <m/>
    <s v="No"/>
    <s v="No"/>
    <n v="0"/>
    <x v="16"/>
    <n v="0"/>
    <n v="0"/>
    <n v="0"/>
    <n v="0"/>
    <n v="0"/>
    <n v="0"/>
    <x v="0"/>
    <m/>
    <x v="0"/>
    <m/>
    <m/>
    <m/>
    <m/>
    <m/>
    <m/>
    <m/>
    <m/>
    <m/>
    <m/>
    <m/>
    <m/>
    <m/>
    <m/>
    <m/>
    <m/>
    <m/>
  </r>
  <r>
    <n v="77"/>
    <x v="1"/>
    <s v="ILIMITADA 90GB FNW"/>
    <s v="tarifa"/>
    <m/>
    <m/>
    <s v="No"/>
    <s v="No"/>
    <n v="0"/>
    <x v="17"/>
    <n v="0"/>
    <n v="0"/>
    <n v="0"/>
    <n v="0"/>
    <n v="0"/>
    <n v="1"/>
    <x v="3"/>
    <n v="1"/>
    <x v="0"/>
    <m/>
    <m/>
    <m/>
    <m/>
    <m/>
    <m/>
    <m/>
    <m/>
    <m/>
    <m/>
    <m/>
    <m/>
    <m/>
    <m/>
    <m/>
    <m/>
    <m/>
  </r>
  <r>
    <n v="81"/>
    <x v="1"/>
    <s v="Básica 15GB"/>
    <s v="tarifa"/>
    <s v="3000 min. a m&amp;oacute viles y fijos nacionales 15 GB. Superados los GB contratados baja la velocidad durante 1GB y luego se cortan. Llamadas a m&amp;oacute viles y fijos nacionales 0.0414&amp;euro . Establecimiento de llamada 0.165&amp;euro  SMS: nacionales 0.10&amp;euro  - internacionales 0.50&amp;euro "/>
    <s v="3000 min. a m&amp;oacute viles y fijos nacionales 15 GB. Superados los GB contratados baja la velocidad durante 1GB y luego se cortan. Llamadas a m&amp;oacute viles y fijos nacionales 0.0414&amp;euro . Establecimiento de llamada 0.165&amp;euro  SMS: nacionales 0.10&amp;euro  - internacionales 0.50&amp;euro "/>
    <s v="No"/>
    <s v="No"/>
    <n v="0"/>
    <x v="18"/>
    <n v="0"/>
    <n v="0"/>
    <n v="0"/>
    <n v="0"/>
    <n v="11.9"/>
    <n v="0"/>
    <x v="0"/>
    <m/>
    <x v="0"/>
    <m/>
    <m/>
    <m/>
    <m/>
    <m/>
    <m/>
    <m/>
    <m/>
    <m/>
    <m/>
    <m/>
    <m/>
    <m/>
    <m/>
    <m/>
    <m/>
    <m/>
  </r>
  <r>
    <n v="82"/>
    <x v="1"/>
    <s v="Básica 15GB + (30GB)"/>
    <s v="tarifa"/>
    <s v="3000 min. a m&amp;oacute viles y fijos nacionales 30 GB. Superados los GB contratados baja la velocidad durante 1GB y luego se cortan. Llamadas a m&amp;oacute viles y fijos nacionales 0.0414&amp;euro . Establecimiento de llamada 0.165&amp;euro  SMS: nacionales 0.10&amp;euro  - internacionales 0.50&amp;euro "/>
    <s v="3000 min. a m&amp;oacute viles y fijos nacionales 30 GB. Superados los GB contratados baja la velocidad durante 1GB y luego se cortan. Llamadas a m&amp;oacute viles y fijos nacionales 0.0414&amp;euro . Establecimiento de llamada 0.165&amp;euro  SMS: nacionales 0.10&amp;euro  - internacionales 0.50&amp;euro "/>
    <s v="No"/>
    <s v="No"/>
    <n v="0"/>
    <x v="19"/>
    <n v="0"/>
    <n v="0"/>
    <n v="0"/>
    <n v="0"/>
    <n v="0"/>
    <n v="0"/>
    <x v="0"/>
    <m/>
    <x v="0"/>
    <m/>
    <m/>
    <m/>
    <m/>
    <m/>
    <m/>
    <m/>
    <m/>
    <m/>
    <m/>
    <m/>
    <m/>
    <m/>
    <m/>
    <m/>
    <m/>
    <m/>
  </r>
  <r>
    <n v="83"/>
    <x v="1"/>
    <s v="Básica 5GB + (10GB)"/>
    <s v="tarifa"/>
    <s v="3000 min. a m&amp;oacute viles y fijos nacionales 10 GB. Superados los GB contratados baja la velocidad durante 1GB y luego se cortan. Llamadas a m&amp;oacute viles y fijos nacionales 0.0414&amp;euro . Establecimiento de llamada 0.165&amp;euro  SMS: nacionales 0.10&amp;euro  - internacionales 0.50&amp;euro "/>
    <s v="3000 min. a m&amp;oacute viles y fijos nacionales 10 GB. Superados los GB contratados baja la velocidad durante 1GB y luego se cortan. Llamadas a m&amp;oacute viles y fijos nacionales 0.0414&amp;euro . Establecimiento de llamada 0.165&amp;euro  SMS: nacionales 0.10&amp;euro  - internacionales 0.50&amp;euro "/>
    <s v="No"/>
    <s v="No"/>
    <n v="0"/>
    <x v="20"/>
    <n v="0"/>
    <n v="0"/>
    <n v="0"/>
    <n v="0"/>
    <n v="0"/>
    <n v="0"/>
    <x v="0"/>
    <m/>
    <x v="0"/>
    <m/>
    <m/>
    <m/>
    <m/>
    <m/>
    <m/>
    <m/>
    <m/>
    <m/>
    <m/>
    <m/>
    <m/>
    <m/>
    <m/>
    <m/>
    <m/>
    <m/>
  </r>
  <r>
    <n v="97"/>
    <x v="1"/>
    <s v="ILIMITADA 21GB LMV"/>
    <s v="tarifa"/>
    <m/>
    <s v="Llamadas de voz: Máximo 150 destinos por mes y 3000 minutos a fijo y móvil nacional. Una vez superados 150 destinos se tarificará el exceso a 0,10 /minuto y 0,20 de establecimiento de llamada. Excluidas las llamadas a servicios de tarificación especial (901, 902, 70X, etc...), llamadas internacionales y numeración corta. Al consumir los datos de tu tarifa, se activa el Bono 1 Giga, que permite seguir navegando a baja velocidad (16 Kbps.) sin costes adicionales.Si se consume este Bono 1 Giga de baja velocidad, los datos se desactivan hasta el mes siguiente. No se permite el uso de las tarjetas SIM en routers, módems u otros dispositivos de concentración de tráfico, como tampoco su uso compartiendo datos 24 horas al día, o la mayor parte del tiempo"/>
    <s v="No"/>
    <s v="No"/>
    <n v="0"/>
    <x v="21"/>
    <n v="0"/>
    <n v="0"/>
    <n v="0"/>
    <n v="0"/>
    <n v="0"/>
    <n v="1"/>
    <x v="4"/>
    <n v="1"/>
    <x v="0"/>
    <m/>
    <m/>
    <m/>
    <m/>
    <m/>
    <m/>
    <m/>
    <m/>
    <m/>
    <m/>
    <m/>
    <m/>
    <m/>
    <m/>
    <m/>
    <m/>
    <m/>
  </r>
  <r>
    <n v="98"/>
    <x v="1"/>
    <s v="ILIMITADA 60GB LMV"/>
    <s v="tarifa"/>
    <m/>
    <s v="Llamadas de voz: Máximo 150 destinos por mes y 3000 minutos a fijo y móvil nacional. Una vez superados 150 destinos se tarificará el exceso a 0,10 /minuto y 0,20 de establecimiento de llamada. Excluidas las llamadas a servicios de tarificación especial (901, 902, 70X, etc...), llamadas internacionales y numeración corta. Al consumir los datos de tu tarifa, se activa el Bono 1 Giga, que permite seguir navegando a baja velocidad (16 Kbps.) sin costes adicionales.Si se consume este Bono 1 Giga de baja velocidad, los datos se desactivan hasta el mes siguiente. No se permite el uso de las tarjetas SIM en routers, módems u otros dispositivos de concentración de tráfico, como tampoco su uso compartiendo datos 24 horas al día, o la mayor parte del tiempo"/>
    <s v="No"/>
    <s v="No"/>
    <n v="0"/>
    <x v="22"/>
    <n v="0"/>
    <n v="0"/>
    <n v="0"/>
    <n v="0"/>
    <n v="0"/>
    <n v="0"/>
    <x v="0"/>
    <m/>
    <x v="0"/>
    <m/>
    <m/>
    <m/>
    <m/>
    <m/>
    <m/>
    <m/>
    <m/>
    <m/>
    <m/>
    <m/>
    <m/>
    <m/>
    <m/>
    <m/>
    <m/>
    <m/>
  </r>
  <r>
    <n v="99"/>
    <x v="1"/>
    <s v="ILIMITADA 153GB LMV"/>
    <s v="tarifa"/>
    <m/>
    <s v="Llamadas de voz: Máximo 150 destinos por mes y 3000 minutos a fijo y móvil nacional. Una vez superados 150 destinos se tarificará el exceso a 0,10 /minuto y 0,20 de establecimiento de llamada. Excluidas las llamadas a servicios de tarificación especial (901, 902, 70X, etc...), llamadas internacionales y numeración corta. Al consumir los datos de tu tarifa, se activa el Bono 1 Giga, que permite seguir navegando a baja velocidad (16 Kbps.) sin costes adicionales.Si se consume este Bono 1 Giga de baja velocidad, los datos se desactivan hasta el mes siguiente. No se permite el uso de las tarjetas SIM en routers, módems u otros dispositivos de concentración de tráfico, como tampoco su uso compartiendo datos 24 horas al día, o la mayor parte del tiempo"/>
    <s v="No"/>
    <s v="No"/>
    <n v="0"/>
    <x v="23"/>
    <n v="0"/>
    <n v="0"/>
    <n v="0"/>
    <n v="0"/>
    <n v="0"/>
    <n v="7"/>
    <x v="4"/>
    <n v="7"/>
    <x v="0"/>
    <m/>
    <m/>
    <m/>
    <m/>
    <m/>
    <m/>
    <m/>
    <m/>
    <m/>
    <m/>
    <m/>
    <m/>
    <m/>
    <m/>
    <m/>
    <m/>
    <m/>
  </r>
  <r>
    <n v="101"/>
    <x v="1"/>
    <s v="Sota (40 GB)"/>
    <s v="tarifa"/>
    <s v="Ilimitada: 3000 min. a moviles y fijos nacionales 40 GB. Superados los GB contratados baja la velocidad durante 1GB y luego se cortan. Llamadas a m&amp;oacute viles y fijos nacionales 0.04&amp;euro . Establecimiento de llamada 0.165&amp;euro  SMS: nacionales 0.10&amp;euro  - internacionales 0.50&amp;euro "/>
    <s v="Ilimitada: 3000 min. a moviles y fijos nacionales 40 GB. Superados los GB contratados baja la velocidad durante 1GB y luego se cortan. Llamadas a móviles y fijos nacionales 0.04&amp;euro . Establecimiento de llamada 0.165€ SMS: nacionales 0.10€ - internacionales 0.50€ "/>
    <s v="No"/>
    <s v="No"/>
    <n v="0"/>
    <x v="7"/>
    <n v="0"/>
    <n v="0"/>
    <n v="0"/>
    <n v="0"/>
    <n v="12.9"/>
    <n v="0"/>
    <x v="0"/>
    <m/>
    <x v="0"/>
    <m/>
    <m/>
    <m/>
    <m/>
    <m/>
    <m/>
    <m/>
    <m/>
    <m/>
    <m/>
    <m/>
    <m/>
    <m/>
    <m/>
    <m/>
    <m/>
    <m/>
  </r>
  <r>
    <n v="102"/>
    <x v="1"/>
    <s v="Sota + (80 GB)"/>
    <s v="tarifa"/>
    <s v="Ilimitada: 3000 min. a moviles y fijos nacionales 80 GB. Superados los GB contratados baja la velocidad durante 1GB y luego se cortan. Llamadas a m&amp;oacute viles y fijos nacionales 0.04&amp;euro . Establecimiento de llamada 0.165&amp;euro  SMS: nacionales 0.10&amp;euro  - internacionales 0.50&amp;euro "/>
    <s v="Ilimitada: 3000 min. a moviles y fijos nacionales 80 GB. Superados los GB contratados baja la velocidad durante 1GB y luego se cortan. Llamadas a móviles y fijos nacionales 0.04. Establecimiento de llamada 0.165 SMS: nacionales 0.10 - internacionales 0.50"/>
    <s v="No"/>
    <s v="No"/>
    <n v="0"/>
    <x v="24"/>
    <n v="0"/>
    <n v="0"/>
    <n v="0"/>
    <n v="0"/>
    <n v="13.9"/>
    <n v="0"/>
    <x v="0"/>
    <m/>
    <x v="0"/>
    <m/>
    <m/>
    <m/>
    <m/>
    <m/>
    <m/>
    <m/>
    <m/>
    <m/>
    <m/>
    <m/>
    <m/>
    <m/>
    <m/>
    <m/>
    <m/>
    <m/>
  </r>
  <r>
    <n v="103"/>
    <x v="1"/>
    <s v="Caballo (60 GB)"/>
    <s v="tarifa"/>
    <s v="Ilimitada: 3000 min. a moviles y fijos nacionales 60 GB. Superados los GB contratados baja la velocidad durante 1GB y luego se cortan. Llamadas a m&amp;oacute viles y fijos nacionales 0.04&amp;euro . Establecimiento de llamada 0.165&amp;euro  SMS: nacionales 0.10&amp;euro  - internacionales 0.50&amp;euro "/>
    <s v="Ilimitada: 3000 min. a moviles y fijos nacionales 60 GB. Superados los GB contratados baja la velocidad durante 1GB y luego se cortan. Llamadas a m&amp;oacute viles y fijos nacionales 0.04&amp;euro . Establecimiento de llamada 0.165&amp;euro  SMS: nacionales 0.10&amp;euro  - internacionales 0.50&amp;euro "/>
    <s v="No"/>
    <s v="No"/>
    <n v="0"/>
    <x v="9"/>
    <n v="0"/>
    <n v="0"/>
    <n v="0"/>
    <n v="0"/>
    <n v="0"/>
    <n v="0"/>
    <x v="0"/>
    <m/>
    <x v="0"/>
    <m/>
    <m/>
    <m/>
    <m/>
    <m/>
    <m/>
    <m/>
    <m/>
    <m/>
    <m/>
    <m/>
    <m/>
    <m/>
    <m/>
    <m/>
    <m/>
    <m/>
  </r>
  <r>
    <n v="104"/>
    <x v="1"/>
    <s v="Caballo + (120 GB)"/>
    <s v="tarifa"/>
    <s v="Ilimitada: 3000 min. a moviles y fijos nacionales 120 GB. Superados los GB contratados baja la velocidad durante 1GB y luego se cortan. Llamadas a m&amp;oacute viles y fijos nacionales 0.04&amp;euro . Establecimiento de llamada 0.165&amp;euro  SMS: nacionales 0.10&amp;euro  - internacionales 0.50&amp;euro "/>
    <s v="Ilimitada: 3000 min. a moviles y fijos nacionales 120 GB. Superados los GB contratados baja la velocidad durante 1GB y luego se cortan. Llamadas a móviles y fijos nacionales 0.04. Establecimiento de llamada 0.165 SMS: nacionales 0.10 - internacionales 0.50"/>
    <s v="No"/>
    <s v="No"/>
    <n v="0"/>
    <x v="25"/>
    <n v="0"/>
    <n v="0"/>
    <n v="0"/>
    <n v="0"/>
    <n v="19.899999999999999"/>
    <n v="0"/>
    <x v="0"/>
    <m/>
    <x v="0"/>
    <m/>
    <m/>
    <m/>
    <m/>
    <m/>
    <m/>
    <m/>
    <m/>
    <m/>
    <m/>
    <m/>
    <m/>
    <m/>
    <m/>
    <m/>
    <m/>
    <m/>
  </r>
  <r>
    <n v="105"/>
    <x v="1"/>
    <s v="Rey (80 GB)"/>
    <s v="tarifa"/>
    <s v="Ilimitada: 6000 min. a moviles y fijos nacionales 80 GB. Superados los GB contratados baja la velocidad durante 1GB y luego se cortan. Llamadas a m&amp;oacute viles y fijos nacionales 0.04&amp;euro . Establecimiento de llamada 0.165&amp;euro  SMS: nacionales 0.10&amp;euro  - internacionales 0.50&amp;euro "/>
    <s v="Ilimitada: 6000 min. a moviles y fijos nacionales 80 GB. Superados los GB contratados baja la velocidad durante 1GB y luego se cortan. Llamadas a m&amp;oacute viles y fijos nacionales 0.04&amp;euro . Establecimiento de llamada 0.165&amp;euro  SMS: nacionales 0.10&amp;euro  - internacionales 0.50&amp;euro "/>
    <s v="No"/>
    <s v="No"/>
    <n v="0"/>
    <x v="11"/>
    <n v="0"/>
    <n v="0"/>
    <n v="0"/>
    <n v="0"/>
    <n v="0"/>
    <n v="0"/>
    <x v="0"/>
    <m/>
    <x v="0"/>
    <m/>
    <m/>
    <m/>
    <m/>
    <m/>
    <m/>
    <m/>
    <m/>
    <m/>
    <m/>
    <m/>
    <m/>
    <m/>
    <m/>
    <m/>
    <m/>
    <m/>
  </r>
  <r>
    <n v="106"/>
    <x v="1"/>
    <s v="Rey + (160 GB)"/>
    <s v="tarifa"/>
    <s v="Ilimitada: 6000 min. a moviles y fijos nacionales 160 GB. Superados los GB contratados baja la velocidad durante 1GB y luego se cortan. Llamadas a m&amp;oacute viles y fijos nacionales 0.04&amp;euro . Establecimiento de llamada 0.165&amp;euro  SMS: nacionales 0.10&amp;euro  - internacionales 0.50&amp;euro "/>
    <s v="Ilimitada: 6000 min. a moviles y fijos nacionales 160 GB. Superados los GB contratados baja la velocidad durante 1GB y luego se cortan. Llamadas a móviles y fijos nacionales 0.04. Establecimiento de llamada 0.165 SMS: nacionales 0.10 - internacionales 0.50"/>
    <s v="No"/>
    <s v="No"/>
    <n v="0"/>
    <x v="26"/>
    <n v="0"/>
    <n v="0"/>
    <n v="0"/>
    <n v="0"/>
    <n v="22.9"/>
    <n v="0"/>
    <x v="0"/>
    <m/>
    <x v="0"/>
    <m/>
    <m/>
    <m/>
    <m/>
    <m/>
    <m/>
    <m/>
    <m/>
    <m/>
    <m/>
    <m/>
    <m/>
    <m/>
    <m/>
    <m/>
    <m/>
    <m/>
  </r>
  <r>
    <n v="107"/>
    <x v="1"/>
    <s v="Básica 7GB"/>
    <s v="tarifa"/>
    <s v="3000 min. a m&amp;oacute viles y fijos nacionales 7 GB. Superados los GB contratados baja la velocidad durante 1GB y luego se cortan. Llamadas a m&amp;oacute viles y fijos nacionales 0.04&amp;euro . Establecimiento de llamada 0.165&amp;euro  SMS: nacionales 0.10&amp;euro  - internacionales 0.50&amp;euro "/>
    <s v="3000 min. a móviles y fijos nacionales 7 GB. Superados los GB contratados baja la velocidad durante 1GB y luego se cortan. Llamadas a móviles y fijos nacionales 0.04. Establecimiento de llamada 0.165 SMS: nacionales 0.10 - internacionales 0.50"/>
    <s v="No"/>
    <s v="No"/>
    <n v="0"/>
    <x v="13"/>
    <n v="0"/>
    <n v="0"/>
    <n v="0"/>
    <n v="0"/>
    <n v="9.9"/>
    <n v="0"/>
    <x v="0"/>
    <m/>
    <x v="0"/>
    <m/>
    <m/>
    <m/>
    <m/>
    <m/>
    <m/>
    <m/>
    <m/>
    <m/>
    <m/>
    <m/>
    <m/>
    <m/>
    <m/>
    <m/>
    <m/>
    <m/>
  </r>
  <r>
    <n v="108"/>
    <x v="1"/>
    <s v="Básica 20GB"/>
    <s v="tarifa"/>
    <s v="3000 min. a m&amp;oacute viles y fijos nacionales 20 GB. Superados los GB contratados baja la velocidad durante 1GB y luego se cortan. Llamadas a m&amp;oacute viles y fijos nacionales 0.04&amp;euro . Establecimiento de llamada 0.165&amp;euro  SMS: nacionales 0.10&amp;euro  - internacionales 0.50&amp;euro "/>
    <s v="3000 min. a móviles y fijos nacionales 20 GB. Superados los GB contratados baja la velocidad durante 1GB y luego se cortan. Llamadas a móviles y fijos nacionales 0.04. Establecimiento de llamada 0.165 SMS: nacionales 0.10 - internacionales 0.50"/>
    <s v="No"/>
    <s v="No"/>
    <n v="0"/>
    <x v="27"/>
    <n v="0"/>
    <n v="0"/>
    <n v="0"/>
    <n v="0"/>
    <n v="11.9"/>
    <n v="0"/>
    <x v="0"/>
    <m/>
    <x v="0"/>
    <m/>
    <m/>
    <m/>
    <m/>
    <m/>
    <m/>
    <m/>
    <m/>
    <m/>
    <m/>
    <m/>
    <m/>
    <m/>
    <m/>
    <m/>
    <m/>
    <m/>
  </r>
  <r>
    <n v="109"/>
    <x v="1"/>
    <s v="Básica 20GB + (40GB)"/>
    <s v="tarifa"/>
    <s v="3000 min. a m&amp;oacute viles y fijos nacionales 40 GB. Superados los GB contratados baja la velocidad durante 1GB y luego se cortan. Llamadas a m&amp;oacute viles y fijos nacionales 0.04&amp;euro . Establecimiento de llamada 0.165&amp;euro  SMS: nacionales 0.10&amp;euro  - internacionales 0.50&amp;euro "/>
    <s v="3000 min. a m&amp;oacute viles y fijos nacionales 40 GB. Superados los GB contratados baja la velocidad durante 1GB y luego se cortan. Llamadas a m&amp;oacute viles y fijos nacionales 0.04&amp;euro . Establecimiento de llamada 0.165&amp;euro  SMS: nacionales 0.10&amp;euro  - internacionales 0.50&amp;euro "/>
    <s v="No"/>
    <s v="No"/>
    <n v="0"/>
    <x v="28"/>
    <n v="0"/>
    <n v="0"/>
    <n v="0"/>
    <n v="0"/>
    <n v="0"/>
    <n v="0"/>
    <x v="0"/>
    <m/>
    <x v="0"/>
    <m/>
    <m/>
    <m/>
    <m/>
    <m/>
    <m/>
    <m/>
    <m/>
    <m/>
    <m/>
    <m/>
    <m/>
    <m/>
    <m/>
    <m/>
    <m/>
    <m/>
  </r>
  <r>
    <n v="110"/>
    <x v="1"/>
    <s v="Básica 7GB + (14GB)"/>
    <s v="tarifa"/>
    <s v="3000 min. a m&amp;oacute viles y fijos nacionales 14 GB. Superados los GB contratados baja la velocidad durante 1GB y luego se cortan. Llamadas a m&amp;oacute viles y fijos nacionales 0.04&amp;euro . Establecimiento de llamada 0.165&amp;euro  SMS: nacionales 0.10&amp;euro  - internacionales 0.50&amp;euro "/>
    <s v="3000 min. a móviles y fijos nacionales 14 GB. Superados los GB contratados baja la velocidad durante 1GB y luego se cortan. Llamadas a móviles y fijos nacionales 0.04. Establecimiento de llamada 0.165 SMS: nacionales 0.10 - internacionales 0.50"/>
    <s v="No"/>
    <s v="No"/>
    <n v="0"/>
    <x v="20"/>
    <n v="0"/>
    <n v="0"/>
    <n v="0"/>
    <n v="0"/>
    <n v="10.9"/>
    <n v="0"/>
    <x v="0"/>
    <m/>
    <x v="0"/>
    <m/>
    <m/>
    <m/>
    <m/>
    <m/>
    <m/>
    <m/>
    <m/>
    <m/>
    <m/>
    <m/>
    <m/>
    <m/>
    <m/>
    <m/>
    <m/>
    <m/>
  </r>
  <r>
    <n v="126"/>
    <x v="1"/>
    <s v="Movistar Duo Superior"/>
    <s v="tarifa"/>
    <m/>
    <s v="Incluye X  min/mes a fijos y moviles naciones, 400Gb,  500 sms, multimsim. Superados los X min llamadas a móviles y fijos nacionales X . Superados los 500 sms precio 15 cent/sms. No incluye numeros de tarificacion especial"/>
    <s v="Sí"/>
    <s v="Sí"/>
    <n v="0"/>
    <x v="29"/>
    <n v="15"/>
    <n v="15"/>
    <n v="22"/>
    <n v="22"/>
    <n v="25"/>
    <n v="344"/>
    <x v="1"/>
    <n v="343"/>
    <x v="4"/>
    <n v="1"/>
    <m/>
    <m/>
    <m/>
    <m/>
    <m/>
    <m/>
    <m/>
    <m/>
    <m/>
    <m/>
    <m/>
    <m/>
    <m/>
    <m/>
    <m/>
    <m/>
  </r>
  <r>
    <n v="130"/>
    <x v="1"/>
    <s v="Movistar DUO EST. BASE"/>
    <s v="tarifa"/>
    <m/>
    <m/>
    <s v="No"/>
    <s v="No"/>
    <n v="0"/>
    <x v="30"/>
    <n v="0"/>
    <n v="0"/>
    <n v="0"/>
    <n v="0"/>
    <n v="0"/>
    <n v="0"/>
    <x v="0"/>
    <m/>
    <x v="0"/>
    <m/>
    <m/>
    <m/>
    <m/>
    <m/>
    <m/>
    <m/>
    <m/>
    <m/>
    <m/>
    <m/>
    <m/>
    <m/>
    <m/>
    <m/>
    <m/>
    <m/>
  </r>
  <r>
    <n v="146"/>
    <x v="1"/>
    <s v="Citelia 300 GB"/>
    <s v="tarifa"/>
    <m/>
    <s v="Voz: 6.0000 minutos a móviles y fijos nacionales.&lt;br/&gt;Datos: 300 GB. Superados los datos baja la velocidad durante 1GB y luego se cortan.&lt;br/&gt;SMS: 200 nacionales.&lt;br/&gt;Fuera de tarifa - Llamadas a móviles y fijos nacionales 0.0414&lt;br/&gt;Establecimiento de llamada 0.165. SMS: Nacionales 0,10"/>
    <s v="No"/>
    <s v="No"/>
    <n v="0"/>
    <x v="31"/>
    <n v="0"/>
    <n v="0"/>
    <n v="0"/>
    <n v="0"/>
    <n v="0"/>
    <n v="0"/>
    <x v="0"/>
    <m/>
    <x v="0"/>
    <m/>
    <m/>
    <m/>
    <m/>
    <m/>
    <m/>
    <m/>
    <m/>
    <m/>
    <m/>
    <m/>
    <m/>
    <m/>
    <m/>
    <m/>
    <m/>
    <m/>
  </r>
  <r>
    <n v="147"/>
    <x v="1"/>
    <s v="ILIMITADA 50GB FNW"/>
    <s v="tarifa"/>
    <m/>
    <m/>
    <s v="No"/>
    <s v="Sí"/>
    <n v="0"/>
    <x v="32"/>
    <n v="0"/>
    <n v="0"/>
    <n v="0"/>
    <n v="0"/>
    <n v="0"/>
    <n v="1"/>
    <x v="3"/>
    <n v="1"/>
    <x v="0"/>
    <m/>
    <m/>
    <m/>
    <m/>
    <m/>
    <m/>
    <m/>
    <m/>
    <m/>
    <m/>
    <m/>
    <m/>
    <m/>
    <m/>
    <m/>
    <m/>
    <m/>
  </r>
  <r>
    <n v="148"/>
    <x v="1"/>
    <s v="SOLO VOZ"/>
    <s v="tarifa"/>
    <m/>
    <m/>
    <s v="No"/>
    <s v="No"/>
    <n v="0"/>
    <x v="33"/>
    <n v="0"/>
    <n v="0"/>
    <n v="0"/>
    <n v="0"/>
    <n v="0"/>
    <n v="0"/>
    <x v="0"/>
    <m/>
    <x v="0"/>
    <m/>
    <m/>
    <m/>
    <m/>
    <m/>
    <m/>
    <m/>
    <m/>
    <m/>
    <m/>
    <m/>
    <m/>
    <m/>
    <m/>
    <m/>
    <m/>
    <m/>
  </r>
  <r>
    <n v="149"/>
    <x v="1"/>
    <s v="Básica 10 GB"/>
    <s v="tarifa"/>
    <m/>
    <m/>
    <s v="No"/>
    <s v="No"/>
    <n v="0"/>
    <x v="13"/>
    <n v="0"/>
    <n v="0"/>
    <n v="0"/>
    <n v="0"/>
    <n v="0"/>
    <n v="0"/>
    <x v="0"/>
    <m/>
    <x v="0"/>
    <m/>
    <m/>
    <m/>
    <m/>
    <m/>
    <m/>
    <m/>
    <m/>
    <m/>
    <m/>
    <m/>
    <m/>
    <m/>
    <m/>
    <m/>
    <m/>
    <m/>
  </r>
  <r>
    <n v="150"/>
    <x v="1"/>
    <s v="Básica 25 GB"/>
    <s v="tarifa"/>
    <m/>
    <m/>
    <s v="No"/>
    <s v="No"/>
    <n v="0"/>
    <x v="18"/>
    <n v="0"/>
    <n v="0"/>
    <n v="0"/>
    <n v="0"/>
    <n v="0"/>
    <n v="0"/>
    <x v="0"/>
    <m/>
    <x v="0"/>
    <m/>
    <m/>
    <m/>
    <m/>
    <m/>
    <m/>
    <m/>
    <m/>
    <m/>
    <m/>
    <m/>
    <m/>
    <m/>
    <m/>
    <m/>
    <m/>
    <m/>
  </r>
  <r>
    <n v="151"/>
    <x v="1"/>
    <s v="Sota 50 GB"/>
    <s v="tarifa"/>
    <m/>
    <m/>
    <s v="No"/>
    <s v="No"/>
    <n v="0"/>
    <x v="7"/>
    <n v="0"/>
    <n v="0"/>
    <n v="0"/>
    <n v="0"/>
    <n v="0"/>
    <n v="0"/>
    <x v="0"/>
    <m/>
    <x v="0"/>
    <m/>
    <m/>
    <m/>
    <m/>
    <m/>
    <m/>
    <m/>
    <m/>
    <m/>
    <m/>
    <m/>
    <m/>
    <m/>
    <m/>
    <m/>
    <m/>
    <m/>
  </r>
  <r>
    <n v="152"/>
    <x v="1"/>
    <s v="Sota + 100 GB"/>
    <s v="tarifa"/>
    <m/>
    <m/>
    <s v="No"/>
    <s v="No"/>
    <n v="0"/>
    <x v="24"/>
    <n v="0"/>
    <n v="0"/>
    <n v="0"/>
    <n v="0"/>
    <n v="0"/>
    <n v="0"/>
    <x v="0"/>
    <m/>
    <x v="0"/>
    <m/>
    <m/>
    <m/>
    <m/>
    <m/>
    <m/>
    <m/>
    <m/>
    <m/>
    <m/>
    <m/>
    <m/>
    <m/>
    <m/>
    <m/>
    <m/>
    <m/>
  </r>
  <r>
    <n v="154"/>
    <x v="1"/>
    <s v="Rey + (180 GB)"/>
    <s v="tarifa"/>
    <m/>
    <m/>
    <s v="No"/>
    <s v="No"/>
    <n v="0"/>
    <x v="34"/>
    <n v="0"/>
    <n v="0"/>
    <n v="0"/>
    <n v="0"/>
    <n v="0"/>
    <n v="0"/>
    <x v="0"/>
    <m/>
    <x v="0"/>
    <m/>
    <m/>
    <m/>
    <m/>
    <m/>
    <m/>
    <m/>
    <m/>
    <m/>
    <m/>
    <m/>
    <m/>
    <m/>
    <m/>
    <m/>
    <m/>
    <m/>
  </r>
  <r>
    <n v="155"/>
    <x v="1"/>
    <s v="Caballo + (140 GB)"/>
    <s v="tarifa"/>
    <m/>
    <m/>
    <s v="No"/>
    <s v="No"/>
    <n v="0"/>
    <x v="35"/>
    <n v="0"/>
    <n v="0"/>
    <n v="0"/>
    <n v="0"/>
    <n v="0"/>
    <n v="0"/>
    <x v="0"/>
    <m/>
    <x v="0"/>
    <m/>
    <m/>
    <m/>
    <m/>
    <m/>
    <m/>
    <m/>
    <m/>
    <m/>
    <m/>
    <m/>
    <m/>
    <m/>
    <m/>
    <m/>
    <m/>
    <m/>
  </r>
  <r>
    <n v="157"/>
    <x v="1"/>
    <s v="Presentación núm de cabecera"/>
    <s v="tarifa"/>
    <m/>
    <m/>
    <s v="No"/>
    <s v="No"/>
    <n v="0"/>
    <x v="36"/>
    <n v="0"/>
    <n v="0"/>
    <n v="0"/>
    <n v="0"/>
    <n v="0"/>
    <n v="0"/>
    <x v="0"/>
    <m/>
    <x v="0"/>
    <m/>
    <m/>
    <m/>
    <m/>
    <m/>
    <m/>
    <m/>
    <m/>
    <m/>
    <m/>
    <m/>
    <m/>
    <m/>
    <m/>
    <m/>
    <m/>
    <m/>
  </r>
  <r>
    <n v="166"/>
    <x v="1"/>
    <s v="ILIMITADA 100GB LMV"/>
    <s v="tarifa"/>
    <m/>
    <s v="Límite de 150 destinos, 3000 minutos, y NO INCLUYE SMS (0.18 IVA incluido). Hay un limitador para enviar 100SMS. Si el cliente completa ese limitador no puede enviar mas SMS."/>
    <s v="Sí"/>
    <s v="Sí"/>
    <n v="0"/>
    <x v="37"/>
    <n v="7.36"/>
    <n v="7.36"/>
    <n v="10"/>
    <n v="14.72"/>
    <n v="15"/>
    <n v="179"/>
    <x v="4"/>
    <n v="179"/>
    <x v="0"/>
    <m/>
    <m/>
    <m/>
    <m/>
    <m/>
    <m/>
    <m/>
    <m/>
    <m/>
    <m/>
    <m/>
    <m/>
    <m/>
    <m/>
    <m/>
    <m/>
    <m/>
  </r>
  <r>
    <n v="172"/>
    <x v="1"/>
    <s v="ILIMITADA 400GB LMV"/>
    <s v="tarifa"/>
    <m/>
    <s v="Límite de 150 destinos, 3000 minutos, y NO INCLUYE SMS (0.18 IVA incluido). Hay un limitador para enviar 100SMS. Si el cliente completa ese limitador no puede enviar mas SMS."/>
    <s v="Sí"/>
    <s v="Sí"/>
    <n v="0"/>
    <x v="38"/>
    <n v="13.4"/>
    <n v="13.4"/>
    <n v="14"/>
    <n v="16.8"/>
    <n v="25"/>
    <n v="17"/>
    <x v="4"/>
    <n v="17"/>
    <x v="0"/>
    <m/>
    <m/>
    <m/>
    <m/>
    <m/>
    <m/>
    <m/>
    <m/>
    <m/>
    <m/>
    <m/>
    <m/>
    <m/>
    <m/>
    <m/>
    <m/>
    <m/>
  </r>
  <r>
    <n v="173"/>
    <x v="1"/>
    <s v="ILIMITADA 200GB LMV"/>
    <s v="tarifa"/>
    <m/>
    <s v="Límite de 150 destinos, 3000 minutos, y NO INCLUYE SMS (0.18 IVA incluido). Hay un limitador para enviar 100SMS. Si el cliente completa ese limitador no puede enviar mas SMS."/>
    <s v="Sí"/>
    <s v="Sí"/>
    <n v="0"/>
    <x v="39"/>
    <n v="9.01"/>
    <n v="9.01"/>
    <n v="12"/>
    <n v="18.02"/>
    <n v="20"/>
    <n v="16"/>
    <x v="4"/>
    <n v="16"/>
    <x v="0"/>
    <m/>
    <m/>
    <m/>
    <m/>
    <m/>
    <m/>
    <m/>
    <m/>
    <m/>
    <m/>
    <m/>
    <m/>
    <m/>
    <m/>
    <m/>
    <m/>
    <m/>
  </r>
  <r>
    <n v="176"/>
    <x v="1"/>
    <s v="ILIMITADA 15GB"/>
    <s v="tarifa"/>
    <m/>
    <s v="Voz: 3.000 minutos a móviles y fijos nacionales.&lt;br/&gt;Datos: 15 GB. Superados los datos baja la velocidad durante 1GB y luego se cortan.&lt;br/&gt;Servicio Acumulagigas incluido.&lt;br/&gt;Fuera de tarifa:&lt;br/&gt;Llamadas a móviles y fijos nacionales - 0,0414&lt;br/&gt;Establecimiento de llamada - 0,165&lt;br/&gt;SMS - nacionales 0,148  internacionales UE 0,06  resto países 0,50"/>
    <s v="No"/>
    <s v="No"/>
    <n v="4.5999999999999996"/>
    <x v="13"/>
    <n v="4.5999999999999996"/>
    <n v="4.5999999999999996"/>
    <n v="8"/>
    <n v="8"/>
    <n v="10"/>
    <n v="2"/>
    <x v="2"/>
    <n v="2"/>
    <x v="0"/>
    <m/>
    <m/>
    <m/>
    <m/>
    <m/>
    <m/>
    <m/>
    <m/>
    <m/>
    <m/>
    <m/>
    <m/>
    <m/>
    <m/>
    <m/>
    <m/>
    <m/>
  </r>
  <r>
    <n v="177"/>
    <x v="1"/>
    <s v="ILIMITADA 40GB"/>
    <s v="tarifa"/>
    <m/>
    <s v="Voz: 3.000 minutos a móviles y fijos nacionales.&lt;br/&gt;Datos: 40 GB. Superados los datos baja la velocidad durante 1GB y luego se cortan.&lt;br/&gt;Servicio Acumulagigas incluido.&lt;br/&gt;Fuera de tarifa:&lt;br/&gt;Llamadas a móviles y fijos nacionales - 0,0414&lt;br/&gt;Establecimiento de llamada - 0,165&lt;br/&gt;SMS - nacionales 0,148  internacionales UE 0,06  resto países 0,50"/>
    <s v="No"/>
    <s v="No"/>
    <n v="0"/>
    <x v="40"/>
    <n v="5.26"/>
    <n v="5.26"/>
    <n v="5.26"/>
    <n v="5.26"/>
    <n v="5.26"/>
    <n v="1"/>
    <x v="2"/>
    <n v="1"/>
    <x v="0"/>
    <m/>
    <m/>
    <m/>
    <m/>
    <m/>
    <m/>
    <m/>
    <m/>
    <m/>
    <m/>
    <m/>
    <m/>
    <m/>
    <m/>
    <m/>
    <m/>
    <m/>
  </r>
  <r>
    <n v="178"/>
    <x v="1"/>
    <s v="ILIMITADA 80GB"/>
    <s v="tarifa"/>
    <m/>
    <s v="Voz: 6.000 minutos a móviles y fijos nacionales._x000d__x000a_Datos: 80 GB. Superados los datos baja la velocidad a 16 Kbps._x000d__x000a_Servicio Acumulagigas incluido._x000d__x000a_Fuera de tarifa:_x000d__x000a_Llamadas a móviles y fijos nacionales - 0,0414€_x000d__x000a_Establecimiento de llamada - 0,165€_x000d__x000a_SMS - nacionales 0,148€, internacionales UE 0,06€, resto países 0,50€"/>
    <s v="Sí"/>
    <s v="Sí"/>
    <n v="9.7100000000000009"/>
    <x v="41"/>
    <n v="4.8600000000000003"/>
    <n v="4.8600000000000003"/>
    <n v="9"/>
    <n v="12"/>
    <n v="17"/>
    <n v="4081"/>
    <x v="2"/>
    <n v="3050"/>
    <x v="5"/>
    <n v="1031"/>
    <m/>
    <m/>
    <m/>
    <m/>
    <m/>
    <m/>
    <m/>
    <m/>
    <m/>
    <m/>
    <m/>
    <m/>
    <m/>
    <m/>
    <m/>
    <m/>
  </r>
  <r>
    <n v="179"/>
    <x v="1"/>
    <s v="ILIMITADA 160GB"/>
    <s v="tarifa"/>
    <m/>
    <s v="Voz: 6.000 minutos a móviles y fijos nacionales.&lt;br/&gt;Datos: 160 GB. Superados los datos baja la velocidad durante 1GB y luego se cortan.&lt;br/&gt;Servicio Acumulagigas incluido.&lt;br/&gt;Fuera de tarifa:&lt;br/&gt;Llamadas a móviles y fijos nacionales - 0,0414&lt;br/&gt;Establecimiento de llamada - 0,165&lt;br/&gt;SMS - nacionales 0,148  internacionales UE 0,06  resto países 0,50"/>
    <s v="No"/>
    <s v="No"/>
    <n v="0"/>
    <x v="9"/>
    <n v="0"/>
    <n v="0"/>
    <n v="0"/>
    <n v="0"/>
    <n v="0"/>
    <n v="41"/>
    <x v="2"/>
    <n v="25"/>
    <x v="5"/>
    <n v="16"/>
    <m/>
    <m/>
    <m/>
    <m/>
    <m/>
    <m/>
    <m/>
    <m/>
    <m/>
    <m/>
    <m/>
    <m/>
    <m/>
    <m/>
    <m/>
    <m/>
  </r>
  <r>
    <n v="180"/>
    <x v="1"/>
    <s v="ILIMITADA VOZ Y DATOS"/>
    <s v="tarifa"/>
    <m/>
    <s v="Voz: 6.000 minutos a móviles y fijos nacionales.&lt;br/&gt;Datos: 300GB a máxima velocidad y una vez superados a 2 Mbps.&lt;br/&gt;Servicio Acumulagigas incluido.&lt;br/&gt;Fuera de tarifa:&lt;br/&gt;Llamadas a móviles y fijos nacionales - 0,0414&lt;br/&gt;Establecimiento de llamada - 0,165&lt;br/&gt;SMS - nacionales 0,148  internacionales UE 0,06  resto países 0,50"/>
    <s v="No"/>
    <s v="No"/>
    <n v="0"/>
    <x v="42"/>
    <n v="0"/>
    <n v="0"/>
    <n v="0"/>
    <n v="0"/>
    <n v="0"/>
    <n v="27"/>
    <x v="2"/>
    <n v="27"/>
    <x v="0"/>
    <m/>
    <m/>
    <m/>
    <m/>
    <m/>
    <m/>
    <m/>
    <m/>
    <m/>
    <m/>
    <m/>
    <m/>
    <m/>
    <m/>
    <m/>
    <m/>
    <m/>
  </r>
  <r>
    <n v="194"/>
    <x v="1"/>
    <s v="ILIMITADA VODAFONE 60GB PTV"/>
    <s v="tarifa"/>
    <m/>
    <m/>
    <s v="No"/>
    <s v="No"/>
    <n v="5.76"/>
    <x v="18"/>
    <n v="5.76"/>
    <n v="5.76"/>
    <n v="12"/>
    <n v="12"/>
    <n v="15"/>
    <n v="10"/>
    <x v="5"/>
    <n v="10"/>
    <x v="0"/>
    <m/>
    <m/>
    <m/>
    <m/>
    <m/>
    <m/>
    <m/>
    <m/>
    <m/>
    <m/>
    <m/>
    <m/>
    <m/>
    <m/>
    <m/>
    <m/>
    <m/>
  </r>
  <r>
    <n v="208"/>
    <x v="1"/>
    <s v="Oficina Móvil"/>
    <s v="service"/>
    <m/>
    <m/>
    <s v="No"/>
    <s v="Sí"/>
    <n v="30"/>
    <x v="43"/>
    <n v="30"/>
    <n v="30"/>
    <n v="30"/>
    <n v="30"/>
    <n v="60"/>
    <n v="14"/>
    <x v="2"/>
    <n v="11"/>
    <x v="5"/>
    <n v="3"/>
    <m/>
    <m/>
    <m/>
    <m/>
    <m/>
    <m/>
    <m/>
    <m/>
    <m/>
    <m/>
    <m/>
    <m/>
    <m/>
    <m/>
    <m/>
    <m/>
  </r>
  <r>
    <n v="209"/>
    <x v="1"/>
    <s v="ILIMITADA 130GB LMV"/>
    <s v="tarifa"/>
    <m/>
    <m/>
    <s v="No"/>
    <s v="Sí"/>
    <n v="6.9"/>
    <x v="37"/>
    <n v="8"/>
    <n v="8"/>
    <n v="10"/>
    <n v="10"/>
    <n v="15"/>
    <n v="310"/>
    <x v="4"/>
    <n v="310"/>
    <x v="0"/>
    <m/>
    <m/>
    <m/>
    <m/>
    <m/>
    <m/>
    <m/>
    <m/>
    <m/>
    <m/>
    <m/>
    <m/>
    <m/>
    <m/>
    <m/>
    <m/>
    <m/>
  </r>
  <r>
    <n v="210"/>
    <x v="1"/>
    <s v="ILIMITADA 120GB LMV"/>
    <s v="tarifa"/>
    <m/>
    <m/>
    <s v="No"/>
    <s v="No"/>
    <n v="6.9"/>
    <x v="37"/>
    <n v="8"/>
    <n v="8"/>
    <n v="10"/>
    <n v="10"/>
    <n v="15"/>
    <n v="1"/>
    <x v="4"/>
    <n v="1"/>
    <x v="0"/>
    <m/>
    <m/>
    <m/>
    <m/>
    <m/>
    <m/>
    <m/>
    <m/>
    <m/>
    <m/>
    <m/>
    <m/>
    <m/>
    <m/>
    <m/>
    <m/>
    <m/>
  </r>
  <r>
    <n v="216"/>
    <x v="1"/>
    <s v="ILIMITADA 35GB FNW"/>
    <s v="tarifa"/>
    <m/>
    <m/>
    <s v="No"/>
    <s v="Sí"/>
    <n v="10"/>
    <x v="44"/>
    <n v="10"/>
    <n v="10"/>
    <n v="12"/>
    <n v="12"/>
    <n v="15"/>
    <n v="2"/>
    <x v="3"/>
    <n v="2"/>
    <x v="0"/>
    <m/>
    <m/>
    <m/>
    <m/>
    <m/>
    <m/>
    <m/>
    <m/>
    <m/>
    <m/>
    <m/>
    <m/>
    <m/>
    <m/>
    <m/>
    <m/>
    <m/>
  </r>
  <r>
    <n v="219"/>
    <x v="1"/>
    <s v="ILIMITADA 10 GB"/>
    <s v="tarifa"/>
    <m/>
    <s v="Voz: 3.000 minutos a móviles y fijos nacionales._x000d__x000a_Datos: 10 GB. Superados los datos baja la velocidad a 16 Kbps._x000d__x000a_Fuera de tarifa:_x000d__x000a_Llamadas a móviles y fijos nacionales - 0,0414€_x000d__x000a_Establecimiento de llamada - 0,165€_x000d__x000a_SMS - nacionales 0,15€  internacionales UE 0,06€  resto países 0,50€"/>
    <s v="No"/>
    <s v="No"/>
    <n v="0"/>
    <x v="45"/>
    <n v="4.18"/>
    <n v="0"/>
    <n v="0"/>
    <n v="0"/>
    <n v="0"/>
    <n v="0"/>
    <x v="0"/>
    <m/>
    <x v="0"/>
    <m/>
    <m/>
    <m/>
    <m/>
    <m/>
    <m/>
    <m/>
    <m/>
    <m/>
    <m/>
    <m/>
    <m/>
    <m/>
    <m/>
    <m/>
    <m/>
    <m/>
  </r>
  <r>
    <n v="220"/>
    <x v="1"/>
    <s v="ILIMITADA 25GB"/>
    <s v="tarifa"/>
    <m/>
    <s v="Voz: 3.000 minutos a móviles y fijos nacionales._x000d__x000a_Datos: 10 GB. Superados los datos baja la velocidad a 16 Kbps._x000d__x000a_Fuera de tarifa:_x000d__x000a_Llamadas a móviles y fijos nacionales - 0,0414€_x000d__x000a_Establecimiento de llamada - 0,165€_x000d__x000a_SMS - nacionales 0,15€  internacionales UE 0,06€  resto países 0,50€"/>
    <s v="No"/>
    <s v="No"/>
    <n v="0"/>
    <x v="46"/>
    <n v="0"/>
    <n v="0"/>
    <n v="0"/>
    <n v="0"/>
    <n v="0"/>
    <n v="0"/>
    <x v="0"/>
    <m/>
    <x v="0"/>
    <m/>
    <m/>
    <m/>
    <m/>
    <m/>
    <m/>
    <m/>
    <m/>
    <m/>
    <m/>
    <m/>
    <m/>
    <m/>
    <m/>
    <m/>
    <m/>
    <m/>
  </r>
  <r>
    <n v="221"/>
    <x v="1"/>
    <s v="ILIMITADA 100 GB"/>
    <s v="tarifa"/>
    <m/>
    <s v="Voz: 6.000 minutos a móviles y fijos nacionales._x000d__x000a_Datos: 100 GB. Superados los datos baja la velocidad a 16 Kbps._x000d__x000a_Servicios Acumulagigas y Transferencia de llamada incluidos._x000d__x000a_Fuera de tarifa:_x000d__x000a_Llamadas a móviles y fijos nacionales - 0,0414€_x000d__x000a_Establecimiento de llamada - 0,165€_x000d__x000a_SMS - nacionales 0,15€  internacionales UE 0,06€  resto países 0,50€"/>
    <s v="Sí"/>
    <s v="Sí"/>
    <n v="8.2200000000000006"/>
    <x v="47"/>
    <n v="6"/>
    <n v="6"/>
    <n v="10"/>
    <n v="12"/>
    <n v="15"/>
    <n v="191"/>
    <x v="2"/>
    <n v="173"/>
    <x v="5"/>
    <n v="18"/>
    <m/>
    <m/>
    <m/>
    <m/>
    <m/>
    <m/>
    <m/>
    <m/>
    <m/>
    <m/>
    <m/>
    <m/>
    <m/>
    <m/>
    <m/>
    <m/>
  </r>
  <r>
    <n v="222"/>
    <x v="1"/>
    <s v="ILIMITADA 250 GB"/>
    <s v="tarifa"/>
    <m/>
    <s v="Voz: 6.000 minutos a móviles y fijos nacionales._x000d__x000a_Datos: 250 GB. Superados los datos baja la velocidad a 16 Kbps._x000d__x000a_Servicios Acumulagigas, Transferencia de llamada y Seguridad Móvil incluidos._x000d__x000a_Fuera de tarifa:_x000d__x000a_Llamadas a móviles y fijos nacionales - 0,0414€_x000d__x000a_Establecimiento de llamada - 0,165€_x000d__x000a_SMS - nacionales 0,148€  internacionales UE 0,06€  resto países 0,50€"/>
    <s v="Sí"/>
    <s v="Sí"/>
    <n v="10.7"/>
    <x v="48"/>
    <n v="9.07"/>
    <n v="9.07"/>
    <n v="12"/>
    <n v="14"/>
    <n v="20"/>
    <n v="91"/>
    <x v="2"/>
    <n v="73"/>
    <x v="5"/>
    <n v="18"/>
    <m/>
    <m/>
    <m/>
    <m/>
    <m/>
    <m/>
    <m/>
    <m/>
    <m/>
    <m/>
    <m/>
    <m/>
    <m/>
    <m/>
    <m/>
    <m/>
  </r>
  <r>
    <n v="224"/>
    <x v="1"/>
    <s v="ILIMITADA 600GB"/>
    <s v="tarifa"/>
    <m/>
    <s v="Voz: 6.000 minutos a móviles y fijos nacionales._x000d__x000a_Datos: 600GB (300GB a máxima velocidad + 300GB a 2 Mbps) Superados los datos baja la velocidad a 16 Kbps._x000d__x000a_Servicios Acumulagigas, Transferencia de llamada, IdentificaSIM y Seguridad Móvil incluidos._x000d__x000a_Fuera de tarifa:_x000d__x000a_Llamadas a móviles y fijos nacionales - 0,0414€_x000d__x000a_Establecimiento de llamada - 0,165€_x000d__x000a_SMS - nacionales 0,148€  internacionales UE 0,06€  resto países 0,50€"/>
    <s v="No"/>
    <s v="No"/>
    <n v="0"/>
    <x v="49"/>
    <n v="12"/>
    <n v="0"/>
    <n v="0"/>
    <n v="0"/>
    <n v="0"/>
    <n v="13"/>
    <x v="2"/>
    <n v="12"/>
    <x v="5"/>
    <n v="1"/>
    <m/>
    <m/>
    <m/>
    <m/>
    <m/>
    <m/>
    <m/>
    <m/>
    <m/>
    <m/>
    <m/>
    <m/>
    <m/>
    <m/>
    <m/>
    <m/>
  </r>
  <r>
    <n v="225"/>
    <x v="1"/>
    <s v="ILIMITADA 75GB FNW"/>
    <s v="tarifa"/>
    <m/>
    <m/>
    <s v="No"/>
    <s v="Sí"/>
    <n v="8.18"/>
    <x v="50"/>
    <n v="8.18"/>
    <n v="8.18"/>
    <n v="12"/>
    <n v="14"/>
    <n v="20"/>
    <n v="4"/>
    <x v="3"/>
    <n v="4"/>
    <x v="0"/>
    <m/>
    <m/>
    <m/>
    <m/>
    <m/>
    <m/>
    <m/>
    <m/>
    <m/>
    <m/>
    <m/>
    <m/>
    <m/>
    <m/>
    <m/>
    <m/>
    <m/>
  </r>
  <r>
    <n v="226"/>
    <x v="1"/>
    <s v="ILIMITADA 150GB FNW"/>
    <s v="tarifa"/>
    <m/>
    <m/>
    <s v="No"/>
    <s v="Sí"/>
    <n v="8.18"/>
    <x v="50"/>
    <n v="8.18"/>
    <n v="8.18"/>
    <n v="12"/>
    <n v="14"/>
    <n v="20"/>
    <n v="5"/>
    <x v="3"/>
    <n v="5"/>
    <x v="0"/>
    <m/>
    <m/>
    <m/>
    <m/>
    <m/>
    <m/>
    <m/>
    <m/>
    <m/>
    <m/>
    <m/>
    <m/>
    <m/>
    <m/>
    <m/>
    <m/>
    <m/>
  </r>
  <r>
    <n v="238"/>
    <x v="1"/>
    <s v="Tarifa Ilimitada Basica VDF"/>
    <s v="tarifa"/>
    <m/>
    <m/>
    <s v="No"/>
    <s v="No"/>
    <n v="0"/>
    <x v="32"/>
    <n v="0"/>
    <n v="0"/>
    <n v="0"/>
    <n v="0"/>
    <n v="0"/>
    <n v="6"/>
    <x v="6"/>
    <n v="6"/>
    <x v="0"/>
    <m/>
    <m/>
    <m/>
    <m/>
    <m/>
    <m/>
    <m/>
    <m/>
    <m/>
    <m/>
    <m/>
    <m/>
    <m/>
    <m/>
    <m/>
    <m/>
    <m/>
  </r>
  <r>
    <n v="240"/>
    <x v="1"/>
    <s v="ILIMITADA 500+300 GB"/>
    <s v="tarifa"/>
    <m/>
    <s v="Voz: 6.000 minutos a móviles y fijos nacionales._x000d__x000a_Datos: 800GB (500GB a máxima velocidad + 300GB a 2 Mbps)_x000d__x000a_Servicios Acumulagigas, Transferencia de llamada, IdentificaSIM y Seguridad Móvil incluidos._x000d__x000a_Fuera de tarifa:_x000d__x000a_Llamadas a móviles y fijos nacionales - 0,0414€_x000d__x000a_Establecimiento de llamada - 0,165€_x000d__x000a_SMS - nacionales 0,148€  internacionales UE 0,06€  resto países 0,50€"/>
    <s v="Sí"/>
    <s v="Sí"/>
    <n v="13.18"/>
    <x v="51"/>
    <n v="12"/>
    <n v="12"/>
    <n v="16"/>
    <n v="20"/>
    <n v="30"/>
    <n v="32"/>
    <x v="2"/>
    <n v="26"/>
    <x v="5"/>
    <n v="6"/>
    <m/>
    <m/>
    <m/>
    <m/>
    <m/>
    <m/>
    <m/>
    <m/>
    <m/>
    <m/>
    <m/>
    <m/>
    <m/>
    <m/>
    <m/>
    <m/>
  </r>
  <r>
    <n v="241"/>
    <x v="1"/>
    <s v="ILIMITADA 15GB"/>
    <s v="tarifa"/>
    <m/>
    <s v="Voz: 6.000 minutos a móviles y fijos nacionales._x000d__x000a_Datos: 15 GB. Superados los datos baja la velocidad a 16Kbps durante 20GB y luego se cortan._x000d__x000a_Fuera de tarifa:_x000d__x000a_Llamadas a móviles y fijos nacionales - 0,0414€_x000d__x000a_Establecimiento de llamada - 0,165€_x000d__x000a_SMS - nacionales 0,15€  internacionales UE 0,06€  resto países 0,50€"/>
    <s v="Sí"/>
    <s v="Sí"/>
    <n v="4.92"/>
    <x v="45"/>
    <n v="3.94"/>
    <n v="4.18"/>
    <n v="8"/>
    <n v="10"/>
    <n v="13"/>
    <n v="6387"/>
    <x v="7"/>
    <n v="3493"/>
    <x v="1"/>
    <n v="2894"/>
    <m/>
    <m/>
    <m/>
    <m/>
    <m/>
    <m/>
    <m/>
    <m/>
    <m/>
    <m/>
    <m/>
    <m/>
    <m/>
    <m/>
    <m/>
    <m/>
  </r>
  <r>
    <n v="242"/>
    <x v="1"/>
    <s v="CITELIA ILIMITADA 40GB"/>
    <s v="tarifa"/>
    <m/>
    <s v="Voz: 6.000 minutos a móviles y fijos nacionales._x000d__x000a_Datos: 40 GB. Superados los datos baja la velocidad a 16 Kbps._x000d__x000a_Servicio Acumulagigas incluido._x000d__x000a_Fuera de tarifa:_x000d__x000a_Llamadas a móviles y fijos nacionales - 0,0414€_x000d__x000a_Establecimiento de llamada - 0,165€_x000d__x000a_SMS - nacionales 0,148€  internacionales UE 0,06€  resto países 0,50€"/>
    <s v="No"/>
    <s v="No"/>
    <n v="6.57"/>
    <x v="40"/>
    <n v="5.26"/>
    <n v="5.26"/>
    <n v="9"/>
    <n v="11"/>
    <n v="14"/>
    <n v="0"/>
    <x v="0"/>
    <m/>
    <x v="0"/>
    <m/>
    <m/>
    <m/>
    <m/>
    <m/>
    <m/>
    <m/>
    <m/>
    <m/>
    <m/>
    <m/>
    <m/>
    <m/>
    <m/>
    <m/>
    <m/>
    <m/>
  </r>
  <r>
    <n v="243"/>
    <x v="1"/>
    <s v="ILIMITADA 15GB +"/>
    <s v="tarifa"/>
    <m/>
    <s v="Voz: 6.000 minutos a móviles y fijos nacionales._x000d__x000a_Datos: 15 GB. Superados los datos baja la velocidad a 16Kbps durante 20GB y luego se cortan._x000d__x000a_Fuera de tarifa:_x000d__x000a_Llamadas a móviles y fijos nacionales - 0,0414€_x000d__x000a_Establecimiento de llamada - 0,165€_x000d__x000a_SMS - nacionales 0,15€  internacionales UE 0,06€  resto países 0,50"/>
    <s v="No"/>
    <s v="No"/>
    <n v="5.74"/>
    <x v="52"/>
    <n v="4.5"/>
    <n v="4.5"/>
    <n v="9"/>
    <n v="9"/>
    <n v="17"/>
    <n v="53"/>
    <x v="2"/>
    <n v="50"/>
    <x v="5"/>
    <n v="3"/>
    <m/>
    <m/>
    <m/>
    <m/>
    <m/>
    <m/>
    <m/>
    <m/>
    <m/>
    <m/>
    <m/>
    <m/>
    <m/>
    <m/>
    <m/>
    <m/>
  </r>
  <r>
    <n v="244"/>
    <x v="1"/>
    <s v="ILIMITADA 250GB +"/>
    <s v="tarifa"/>
    <m/>
    <s v="Voz: 6.000 minutos a móviles y fijos nacionales._x000d__x000a_Datos: 250 GB. Superados los datos baja la velocidad a 16 Kbps._x000d__x000a_Servicios Acumulagigas, Transferencia de llamada y Seguridad Móvil incluidos._x000d__x000a_Fuera de tarifa:_x000d__x000a_Llamadas a móviles y fijos nacionales - 0,0414€_x000d__x000a_Establecimiento de llamada - 0,165€_x000d__x000a_SMS - nacionales 0,148€  internacionales UE 0,06€  resto países 0,50€"/>
    <s v="Sí"/>
    <s v="Sí"/>
    <n v="11.53"/>
    <x v="51"/>
    <n v="10.6"/>
    <n v="10.6"/>
    <n v="14"/>
    <n v="18"/>
    <n v="25"/>
    <n v="3"/>
    <x v="2"/>
    <n v="3"/>
    <x v="0"/>
    <m/>
    <m/>
    <m/>
    <m/>
    <m/>
    <m/>
    <m/>
    <m/>
    <m/>
    <m/>
    <m/>
    <m/>
    <m/>
    <m/>
    <m/>
    <m/>
    <m/>
  </r>
  <r>
    <n v="94"/>
    <x v="2"/>
    <s v="LPD 5GB"/>
    <s v="service"/>
    <m/>
    <m/>
    <s v="No"/>
    <s v="No"/>
    <n v="0"/>
    <x v="13"/>
    <n v="0"/>
    <n v="0"/>
    <n v="0"/>
    <n v="0"/>
    <n v="0"/>
    <n v="0"/>
    <x v="0"/>
    <m/>
    <x v="0"/>
    <m/>
    <m/>
    <m/>
    <m/>
    <m/>
    <m/>
    <m/>
    <m/>
    <m/>
    <m/>
    <m/>
    <m/>
    <m/>
    <m/>
    <m/>
    <m/>
    <m/>
  </r>
  <r>
    <n v="95"/>
    <x v="2"/>
    <s v="LPD 30GB"/>
    <s v="service"/>
    <m/>
    <m/>
    <s v="No"/>
    <s v="No"/>
    <n v="0"/>
    <x v="7"/>
    <n v="0"/>
    <n v="0"/>
    <n v="0"/>
    <n v="0"/>
    <n v="0"/>
    <n v="0"/>
    <x v="0"/>
    <m/>
    <x v="0"/>
    <m/>
    <m/>
    <m/>
    <m/>
    <m/>
    <m/>
    <m/>
    <m/>
    <m/>
    <m/>
    <m/>
    <m/>
    <m/>
    <m/>
    <m/>
    <m/>
    <m/>
  </r>
  <r>
    <n v="96"/>
    <x v="2"/>
    <s v="LPD 100GB"/>
    <s v="service"/>
    <m/>
    <m/>
    <s v="No"/>
    <s v="No"/>
    <n v="0"/>
    <x v="25"/>
    <n v="0"/>
    <n v="0"/>
    <n v="0"/>
    <n v="0"/>
    <n v="0"/>
    <n v="0"/>
    <x v="0"/>
    <m/>
    <x v="0"/>
    <m/>
    <m/>
    <m/>
    <m/>
    <m/>
    <m/>
    <m/>
    <m/>
    <m/>
    <m/>
    <m/>
    <m/>
    <m/>
    <m/>
    <m/>
    <m/>
    <m/>
  </r>
  <r>
    <n v="111"/>
    <x v="2"/>
    <s v="LPD 7GB"/>
    <s v="tarifa"/>
    <m/>
    <s v="Sim 4G para movilidad. No incluye Router"/>
    <s v="No"/>
    <s v="No"/>
    <n v="0"/>
    <x v="13"/>
    <n v="0"/>
    <n v="0"/>
    <n v="0"/>
    <n v="0"/>
    <n v="0"/>
    <n v="0"/>
    <x v="0"/>
    <m/>
    <x v="0"/>
    <m/>
    <m/>
    <m/>
    <m/>
    <m/>
    <m/>
    <m/>
    <m/>
    <m/>
    <m/>
    <m/>
    <m/>
    <m/>
    <m/>
    <m/>
    <m/>
    <m/>
  </r>
  <r>
    <n v="112"/>
    <x v="2"/>
    <s v="LPD 40GB"/>
    <s v="tarifa"/>
    <m/>
    <s v="Sim 4G para movilidad. No incluye Router"/>
    <s v="No"/>
    <s v="No"/>
    <n v="0"/>
    <x v="7"/>
    <n v="0"/>
    <n v="0"/>
    <n v="0"/>
    <n v="0"/>
    <n v="0"/>
    <n v="0"/>
    <x v="0"/>
    <m/>
    <x v="0"/>
    <m/>
    <m/>
    <m/>
    <m/>
    <m/>
    <m/>
    <m/>
    <m/>
    <m/>
    <m/>
    <m/>
    <m/>
    <m/>
    <m/>
    <m/>
    <m/>
    <m/>
  </r>
  <r>
    <n v="113"/>
    <x v="2"/>
    <s v="LPD 120GB"/>
    <s v="tarifa"/>
    <m/>
    <s v="Sim 4G para movilidad. No incluye Router"/>
    <s v="No"/>
    <s v="No"/>
    <n v="0"/>
    <x v="25"/>
    <n v="0"/>
    <n v="0"/>
    <n v="0"/>
    <n v="0"/>
    <n v="0"/>
    <n v="0"/>
    <x v="0"/>
    <m/>
    <x v="0"/>
    <m/>
    <m/>
    <m/>
    <m/>
    <m/>
    <m/>
    <m/>
    <m/>
    <m/>
    <m/>
    <m/>
    <m/>
    <m/>
    <m/>
    <m/>
    <m/>
    <m/>
  </r>
  <r>
    <n v="158"/>
    <x v="2"/>
    <s v="LPD 10 GB"/>
    <s v="tarifa"/>
    <m/>
    <m/>
    <s v="No"/>
    <s v="No"/>
    <n v="0"/>
    <x v="13"/>
    <n v="0"/>
    <n v="0"/>
    <n v="0"/>
    <n v="0"/>
    <n v="0"/>
    <n v="0"/>
    <x v="0"/>
    <m/>
    <x v="0"/>
    <m/>
    <m/>
    <m/>
    <m/>
    <m/>
    <m/>
    <m/>
    <m/>
    <m/>
    <m/>
    <m/>
    <m/>
    <m/>
    <m/>
    <m/>
    <m/>
    <m/>
  </r>
  <r>
    <n v="159"/>
    <x v="2"/>
    <s v="LPD 50 GB"/>
    <s v="tarifa"/>
    <m/>
    <m/>
    <s v="No"/>
    <s v="No"/>
    <n v="0"/>
    <x v="7"/>
    <n v="0"/>
    <n v="0"/>
    <n v="0"/>
    <n v="0"/>
    <n v="0"/>
    <n v="0"/>
    <x v="0"/>
    <m/>
    <x v="0"/>
    <m/>
    <m/>
    <m/>
    <m/>
    <m/>
    <m/>
    <m/>
    <m/>
    <m/>
    <m/>
    <m/>
    <m/>
    <m/>
    <m/>
    <m/>
    <m/>
    <m/>
  </r>
  <r>
    <n v="160"/>
    <x v="2"/>
    <s v="LPD 140 GB"/>
    <s v="tarifa"/>
    <m/>
    <m/>
    <s v="No"/>
    <s v="No"/>
    <n v="0"/>
    <x v="35"/>
    <n v="0"/>
    <n v="0"/>
    <n v="0"/>
    <n v="0"/>
    <n v="0"/>
    <n v="0"/>
    <x v="0"/>
    <m/>
    <x v="0"/>
    <m/>
    <m/>
    <m/>
    <m/>
    <m/>
    <m/>
    <m/>
    <m/>
    <m/>
    <m/>
    <m/>
    <m/>
    <m/>
    <m/>
    <m/>
    <m/>
    <m/>
  </r>
  <r>
    <n v="181"/>
    <x v="2"/>
    <s v="LPD 15GB"/>
    <s v="tarifa"/>
    <m/>
    <m/>
    <s v="No"/>
    <s v="No"/>
    <n v="0"/>
    <x v="13"/>
    <n v="0"/>
    <n v="0"/>
    <n v="0"/>
    <n v="0"/>
    <n v="0"/>
    <n v="0"/>
    <x v="0"/>
    <m/>
    <x v="0"/>
    <m/>
    <m/>
    <m/>
    <m/>
    <m/>
    <m/>
    <m/>
    <m/>
    <m/>
    <m/>
    <m/>
    <m/>
    <m/>
    <m/>
    <m/>
    <m/>
    <m/>
  </r>
  <r>
    <n v="188"/>
    <x v="2"/>
    <s v="LPD 40 GB"/>
    <s v="tarifa"/>
    <m/>
    <m/>
    <s v="No"/>
    <s v="No"/>
    <n v="0"/>
    <x v="18"/>
    <n v="0"/>
    <n v="0"/>
    <n v="0"/>
    <n v="0"/>
    <n v="0"/>
    <n v="0"/>
    <x v="0"/>
    <m/>
    <x v="0"/>
    <m/>
    <m/>
    <m/>
    <m/>
    <m/>
    <m/>
    <m/>
    <m/>
    <m/>
    <m/>
    <m/>
    <m/>
    <m/>
    <m/>
    <m/>
    <m/>
    <m/>
  </r>
  <r>
    <n v="189"/>
    <x v="2"/>
    <s v="LPD 80 GB"/>
    <s v="tarifa"/>
    <m/>
    <m/>
    <s v="No"/>
    <s v="No"/>
    <n v="0"/>
    <x v="7"/>
    <n v="0"/>
    <n v="0"/>
    <n v="0"/>
    <n v="0"/>
    <n v="0"/>
    <n v="161"/>
    <x v="2"/>
    <n v="93"/>
    <x v="5"/>
    <n v="68"/>
    <m/>
    <m/>
    <m/>
    <m/>
    <m/>
    <m/>
    <m/>
    <m/>
    <m/>
    <m/>
    <m/>
    <m/>
    <m/>
    <m/>
    <m/>
    <m/>
  </r>
  <r>
    <n v="190"/>
    <x v="2"/>
    <s v="LPD 160 GB"/>
    <s v="tarifa"/>
    <m/>
    <m/>
    <s v="No"/>
    <s v="No"/>
    <n v="0"/>
    <x v="9"/>
    <n v="0"/>
    <n v="0"/>
    <n v="0"/>
    <n v="0"/>
    <n v="0"/>
    <n v="25"/>
    <x v="7"/>
    <n v="21"/>
    <x v="1"/>
    <n v="4"/>
    <m/>
    <m/>
    <m/>
    <m/>
    <m/>
    <m/>
    <m/>
    <m/>
    <m/>
    <m/>
    <m/>
    <m/>
    <m/>
    <m/>
    <m/>
    <m/>
  </r>
  <r>
    <n v="227"/>
    <x v="2"/>
    <s v="LPD 100 GB"/>
    <s v="tarifa"/>
    <m/>
    <m/>
    <s v="Sí"/>
    <s v="Sí"/>
    <n v="8.2200000000000006"/>
    <x v="47"/>
    <n v="6"/>
    <n v="6"/>
    <n v="10"/>
    <n v="12"/>
    <n v="15"/>
    <n v="17"/>
    <x v="2"/>
    <n v="17"/>
    <x v="0"/>
    <m/>
    <m/>
    <m/>
    <m/>
    <m/>
    <m/>
    <m/>
    <m/>
    <m/>
    <m/>
    <m/>
    <m/>
    <m/>
    <m/>
    <m/>
    <m/>
    <m/>
  </r>
  <r>
    <n v="228"/>
    <x v="2"/>
    <s v="LPD 250 GB"/>
    <s v="tarifa"/>
    <m/>
    <m/>
    <s v="Sí"/>
    <s v="Sí"/>
    <n v="10.7"/>
    <x v="48"/>
    <n v="9.07"/>
    <n v="9.07"/>
    <n v="12"/>
    <n v="14"/>
    <n v="20"/>
    <n v="5"/>
    <x v="2"/>
    <n v="5"/>
    <x v="0"/>
    <m/>
    <m/>
    <m/>
    <m/>
    <m/>
    <m/>
    <m/>
    <m/>
    <m/>
    <m/>
    <m/>
    <m/>
    <m/>
    <m/>
    <m/>
    <m/>
    <m/>
  </r>
  <r>
    <n v="229"/>
    <x v="2"/>
    <s v="LPD 600 GB"/>
    <s v="tarifa"/>
    <m/>
    <m/>
    <s v="No"/>
    <s v="No"/>
    <n v="0"/>
    <x v="29"/>
    <n v="0"/>
    <n v="0"/>
    <n v="0"/>
    <n v="0"/>
    <n v="0"/>
    <n v="1"/>
    <x v="2"/>
    <n v="1"/>
    <x v="0"/>
    <m/>
    <m/>
    <m/>
    <m/>
    <m/>
    <m/>
    <m/>
    <m/>
    <m/>
    <m/>
    <m/>
    <m/>
    <m/>
    <m/>
    <m/>
    <m/>
    <m/>
  </r>
  <r>
    <n v="245"/>
    <x v="2"/>
    <s v="LPD 15 GB"/>
    <s v="tarifa"/>
    <m/>
    <m/>
    <s v="Sí"/>
    <s v="Sí"/>
    <n v="4.92"/>
    <x v="45"/>
    <n v="4.18"/>
    <n v="4.18"/>
    <n v="8"/>
    <n v="10"/>
    <n v="13"/>
    <n v="1"/>
    <x v="2"/>
    <n v="1"/>
    <x v="0"/>
    <m/>
    <m/>
    <m/>
    <m/>
    <m/>
    <m/>
    <m/>
    <m/>
    <m/>
    <m/>
    <m/>
    <m/>
    <m/>
    <m/>
    <m/>
    <m/>
    <m/>
  </r>
  <r>
    <n v="246"/>
    <x v="2"/>
    <s v="LPD 500GB + 300GB Baja velocidad"/>
    <s v="tarifa"/>
    <m/>
    <m/>
    <s v="Sí"/>
    <s v="Sí"/>
    <n v="13.18"/>
    <x v="51"/>
    <n v="5.27"/>
    <n v="12"/>
    <n v="16"/>
    <n v="20"/>
    <n v="30"/>
    <n v="9"/>
    <x v="2"/>
    <n v="8"/>
    <x v="5"/>
    <n v="1"/>
    <m/>
    <m/>
    <m/>
    <m/>
    <m/>
    <m/>
    <m/>
    <m/>
    <m/>
    <m/>
    <m/>
    <m/>
    <m/>
    <m/>
    <m/>
    <m/>
  </r>
  <r>
    <n v="26"/>
    <x v="3"/>
    <s v="Licencia Microsoft 365 Empresa Básico"/>
    <s v="license"/>
    <m/>
    <m/>
    <s v="Sí"/>
    <s v="Sí"/>
    <n v="0"/>
    <x v="53"/>
    <n v="5.66"/>
    <n v="5.66"/>
    <n v="5.66"/>
    <n v="5.66"/>
    <n v="7"/>
    <n v="90"/>
    <x v="8"/>
    <n v="36"/>
    <x v="0"/>
    <m/>
    <m/>
    <m/>
    <m/>
    <m/>
    <m/>
    <m/>
    <m/>
    <m/>
    <m/>
    <m/>
    <m/>
    <m/>
    <m/>
    <m/>
    <m/>
    <m/>
  </r>
  <r>
    <n v="27"/>
    <x v="3"/>
    <s v="Licencia Microsoft 365 Empresa Estandar"/>
    <s v="license"/>
    <m/>
    <m/>
    <s v="Sí"/>
    <s v="Sí"/>
    <n v="0"/>
    <x v="54"/>
    <n v="11.66"/>
    <n v="11.66"/>
    <n v="11.66"/>
    <n v="11.66"/>
    <n v="13"/>
    <n v="384"/>
    <x v="8"/>
    <n v="223"/>
    <x v="0"/>
    <m/>
    <m/>
    <m/>
    <m/>
    <m/>
    <m/>
    <m/>
    <m/>
    <m/>
    <m/>
    <m/>
    <m/>
    <m/>
    <m/>
    <m/>
    <m/>
    <m/>
  </r>
  <r>
    <n v="37"/>
    <x v="3"/>
    <s v="Licencia O365 Enterprise E3"/>
    <s v="license"/>
    <m/>
    <m/>
    <s v="No"/>
    <s v="Sí"/>
    <n v="0"/>
    <x v="55"/>
    <n v="16.39"/>
    <n v="16.39"/>
    <n v="16.39"/>
    <n v="16.39"/>
    <n v="29"/>
    <n v="0"/>
    <x v="0"/>
    <m/>
    <x v="0"/>
    <m/>
    <m/>
    <m/>
    <m/>
    <m/>
    <m/>
    <m/>
    <m/>
    <m/>
    <m/>
    <m/>
    <m/>
    <m/>
    <m/>
    <m/>
    <m/>
    <m/>
  </r>
  <r>
    <n v="38"/>
    <x v="3"/>
    <s v="Licencia O365 Exchange Online KIOSK"/>
    <s v="license"/>
    <m/>
    <m/>
    <s v="Sí"/>
    <s v="Sí"/>
    <n v="0"/>
    <x v="56"/>
    <n v="1.55"/>
    <n v="1.55"/>
    <n v="1.55"/>
    <n v="1.55"/>
    <n v="3"/>
    <n v="0"/>
    <x v="0"/>
    <m/>
    <x v="0"/>
    <m/>
    <m/>
    <m/>
    <m/>
    <m/>
    <m/>
    <m/>
    <m/>
    <m/>
    <m/>
    <m/>
    <m/>
    <m/>
    <m/>
    <m/>
    <m/>
    <m/>
  </r>
  <r>
    <n v="39"/>
    <x v="3"/>
    <s v="Licencia GSuite WorkPlace Business Starter "/>
    <s v="license"/>
    <m/>
    <m/>
    <s v="Sí"/>
    <s v="Sí"/>
    <n v="0"/>
    <x v="27"/>
    <n v="5.75"/>
    <n v="5.75"/>
    <n v="5.75"/>
    <n v="5.75"/>
    <n v="7"/>
    <n v="102"/>
    <x v="8"/>
    <n v="43"/>
    <x v="0"/>
    <m/>
    <m/>
    <m/>
    <m/>
    <m/>
    <m/>
    <m/>
    <m/>
    <m/>
    <m/>
    <m/>
    <m/>
    <m/>
    <m/>
    <m/>
    <m/>
    <m/>
  </r>
  <r>
    <n v="73"/>
    <x v="3"/>
    <s v="Licencia GSuite WorkPlace Business Standard"/>
    <s v="license"/>
    <m/>
    <m/>
    <s v="Sí"/>
    <s v="Sí"/>
    <n v="0"/>
    <x v="57"/>
    <n v="11.5"/>
    <n v="11.5"/>
    <n v="13"/>
    <n v="11.5"/>
    <n v="13"/>
    <n v="88"/>
    <x v="8"/>
    <n v="63"/>
    <x v="0"/>
    <m/>
    <m/>
    <m/>
    <m/>
    <m/>
    <m/>
    <m/>
    <m/>
    <m/>
    <m/>
    <m/>
    <m/>
    <m/>
    <m/>
    <m/>
    <m/>
    <m/>
  </r>
  <r>
    <n v="74"/>
    <x v="3"/>
    <s v="Licencia Microsoft Exchange Online P1"/>
    <s v="license"/>
    <m/>
    <m/>
    <s v="Sí"/>
    <s v="Sí"/>
    <n v="0"/>
    <x v="58"/>
    <n v="3.77"/>
    <n v="3.77"/>
    <n v="3.77"/>
    <n v="3.77"/>
    <n v="5"/>
    <n v="22"/>
    <x v="8"/>
    <n v="18"/>
    <x v="0"/>
    <m/>
    <m/>
    <m/>
    <m/>
    <m/>
    <m/>
    <m/>
    <m/>
    <m/>
    <m/>
    <m/>
    <m/>
    <m/>
    <m/>
    <m/>
    <m/>
    <m/>
  </r>
  <r>
    <n v="85"/>
    <x v="3"/>
    <s v="Licencia Microsoft 365 Empresa Premium"/>
    <s v="license"/>
    <m/>
    <m/>
    <s v="Sí"/>
    <s v="Sí"/>
    <n v="0"/>
    <x v="59"/>
    <n v="17.059999999999999"/>
    <n v="17.059999999999999"/>
    <n v="17.059999999999999"/>
    <n v="17.059999999999999"/>
    <n v="19"/>
    <n v="0"/>
    <x v="0"/>
    <m/>
    <x v="0"/>
    <m/>
    <m/>
    <m/>
    <m/>
    <m/>
    <m/>
    <m/>
    <m/>
    <m/>
    <m/>
    <m/>
    <m/>
    <m/>
    <m/>
    <m/>
    <m/>
    <m/>
  </r>
  <r>
    <n v="131"/>
    <x v="3"/>
    <s v="CONEXION SATELITE"/>
    <s v="fibra"/>
    <m/>
    <m/>
    <s v="No"/>
    <s v="No"/>
    <n v="0"/>
    <x v="60"/>
    <n v="82"/>
    <n v="82"/>
    <n v="150"/>
    <n v="150"/>
    <n v="190"/>
    <n v="0"/>
    <x v="0"/>
    <m/>
    <x v="0"/>
    <m/>
    <m/>
    <m/>
    <m/>
    <m/>
    <m/>
    <m/>
    <m/>
    <m/>
    <m/>
    <m/>
    <m/>
    <m/>
    <m/>
    <m/>
    <m/>
    <m/>
  </r>
  <r>
    <n v="133"/>
    <x v="3"/>
    <s v="Licencia OYSTA localizacion de flotas"/>
    <s v="license"/>
    <m/>
    <m/>
    <s v="Sí"/>
    <s v="Sí"/>
    <n v="0"/>
    <x v="27"/>
    <n v="5.75"/>
    <n v="5.75"/>
    <n v="8"/>
    <n v="8"/>
    <n v="9"/>
    <n v="92"/>
    <x v="8"/>
    <n v="46"/>
    <x v="0"/>
    <m/>
    <m/>
    <m/>
    <m/>
    <m/>
    <m/>
    <m/>
    <m/>
    <m/>
    <m/>
    <m/>
    <m/>
    <m/>
    <m/>
    <m/>
    <m/>
    <m/>
  </r>
  <r>
    <n v="138"/>
    <x v="3"/>
    <s v="Licencia Sesame Time ANUAL"/>
    <s v="license"/>
    <m/>
    <m/>
    <s v="No"/>
    <s v="No"/>
    <n v="0"/>
    <x v="61"/>
    <n v="2.4500000000000002"/>
    <n v="2.4500000000000002"/>
    <n v="3"/>
    <n v="3"/>
    <n v="5"/>
    <n v="78"/>
    <x v="8"/>
    <n v="78"/>
    <x v="0"/>
    <m/>
    <m/>
    <m/>
    <m/>
    <m/>
    <m/>
    <m/>
    <m/>
    <m/>
    <m/>
    <m/>
    <m/>
    <m/>
    <m/>
    <m/>
    <m/>
    <m/>
  </r>
  <r>
    <n v="141"/>
    <x v="3"/>
    <s v="Licencia Microsoft Power BI Pro"/>
    <s v="license"/>
    <m/>
    <m/>
    <s v="Sí"/>
    <s v="Sí"/>
    <n v="0"/>
    <x v="62"/>
    <n v="7.77"/>
    <n v="7.77"/>
    <n v="7.77"/>
    <n v="7.77"/>
    <n v="9"/>
    <n v="1"/>
    <x v="8"/>
    <n v="1"/>
    <x v="0"/>
    <m/>
    <m/>
    <m/>
    <m/>
    <m/>
    <m/>
    <m/>
    <m/>
    <m/>
    <m/>
    <m/>
    <m/>
    <m/>
    <m/>
    <m/>
    <m/>
    <m/>
  </r>
  <r>
    <n v="142"/>
    <x v="3"/>
    <s v="Licencia Microsoft defender O365 (Plan 1)"/>
    <s v="license"/>
    <m/>
    <m/>
    <s v="Sí"/>
    <s v="Sí"/>
    <n v="0"/>
    <x v="56"/>
    <n v="1.55"/>
    <n v="1.55"/>
    <n v="1.55"/>
    <n v="1.55"/>
    <n v="2"/>
    <n v="0"/>
    <x v="0"/>
    <m/>
    <x v="0"/>
    <m/>
    <m/>
    <m/>
    <m/>
    <m/>
    <m/>
    <m/>
    <m/>
    <m/>
    <m/>
    <m/>
    <m/>
    <m/>
    <m/>
    <m/>
    <m/>
    <m/>
  </r>
  <r>
    <n v="143"/>
    <x v="3"/>
    <s v="Licencia Microsoft Power BI Premium (usuario)"/>
    <s v="license"/>
    <m/>
    <m/>
    <s v="Sí"/>
    <s v="Sí"/>
    <n v="0"/>
    <x v="63"/>
    <n v="15.45"/>
    <n v="15.45"/>
    <n v="15.45"/>
    <n v="15.45"/>
    <n v="17"/>
    <n v="0"/>
    <x v="0"/>
    <m/>
    <x v="0"/>
    <m/>
    <m/>
    <m/>
    <m/>
    <m/>
    <m/>
    <m/>
    <m/>
    <m/>
    <m/>
    <m/>
    <m/>
    <m/>
    <m/>
    <m/>
    <m/>
    <m/>
  </r>
  <r>
    <n v="145"/>
    <x v="3"/>
    <s v="Licencia Microsoft Exchange Online P2"/>
    <s v="license"/>
    <m/>
    <m/>
    <s v="Sí"/>
    <s v="Sí"/>
    <n v="0"/>
    <x v="64"/>
    <n v="7.5"/>
    <n v="7.5"/>
    <n v="7.5"/>
    <n v="7.5"/>
    <n v="9"/>
    <n v="8"/>
    <x v="8"/>
    <n v="2"/>
    <x v="0"/>
    <m/>
    <m/>
    <m/>
    <m/>
    <m/>
    <m/>
    <m/>
    <m/>
    <m/>
    <m/>
    <m/>
    <m/>
    <m/>
    <m/>
    <m/>
    <m/>
    <m/>
  </r>
  <r>
    <n v="163"/>
    <x v="3"/>
    <s v="Microsoft 365 E3 EEA"/>
    <s v="license"/>
    <m/>
    <m/>
    <s v="Sí"/>
    <s v="Sí"/>
    <n v="0"/>
    <x v="65"/>
    <n v="35.700000000000003"/>
    <n v="35.700000000000003"/>
    <n v="35.700000000000003"/>
    <n v="35.700000000000003"/>
    <n v="39"/>
    <n v="0"/>
    <x v="0"/>
    <m/>
    <x v="0"/>
    <m/>
    <m/>
    <m/>
    <m/>
    <m/>
    <m/>
    <m/>
    <m/>
    <m/>
    <m/>
    <m/>
    <m/>
    <m/>
    <m/>
    <m/>
    <m/>
    <m/>
  </r>
  <r>
    <n v="164"/>
    <x v="3"/>
    <s v="Office 365 E3 EEA"/>
    <s v="license"/>
    <m/>
    <m/>
    <s v="Sí"/>
    <s v="Sí"/>
    <n v="0"/>
    <x v="66"/>
    <n v="23.1"/>
    <n v="23.1"/>
    <n v="23.1"/>
    <n v="23.1"/>
    <n v="25"/>
    <n v="0"/>
    <x v="0"/>
    <m/>
    <x v="0"/>
    <m/>
    <m/>
    <m/>
    <m/>
    <m/>
    <m/>
    <m/>
    <m/>
    <m/>
    <m/>
    <m/>
    <m/>
    <m/>
    <m/>
    <m/>
    <m/>
    <m/>
  </r>
  <r>
    <n v="165"/>
    <x v="3"/>
    <s v="Microsoft Teams EEA"/>
    <s v="license"/>
    <m/>
    <m/>
    <s v="Sí"/>
    <s v="Sí"/>
    <n v="0"/>
    <x v="15"/>
    <n v="5"/>
    <n v="5"/>
    <n v="5"/>
    <n v="5"/>
    <n v="6"/>
    <n v="0"/>
    <x v="0"/>
    <m/>
    <x v="0"/>
    <m/>
    <m/>
    <m/>
    <m/>
    <m/>
    <m/>
    <m/>
    <m/>
    <m/>
    <m/>
    <m/>
    <m/>
    <m/>
    <m/>
    <m/>
    <m/>
    <m/>
  </r>
  <r>
    <n v="167"/>
    <x v="3"/>
    <s v="Licencia Microsoft Office 365 Empresa Aplicaciones "/>
    <s v="license"/>
    <m/>
    <m/>
    <s v="Sí"/>
    <s v="Sí"/>
    <n v="0"/>
    <x v="67"/>
    <n v="9.8000000000000007"/>
    <n v="9.8000000000000007"/>
    <n v="9.8000000000000007"/>
    <n v="9.8000000000000007"/>
    <n v="12"/>
    <n v="18"/>
    <x v="8"/>
    <n v="18"/>
    <x v="0"/>
    <m/>
    <m/>
    <m/>
    <m/>
    <m/>
    <m/>
    <m/>
    <m/>
    <m/>
    <m/>
    <m/>
    <m/>
    <m/>
    <m/>
    <m/>
    <m/>
    <m/>
  </r>
  <r>
    <n v="193"/>
    <x v="3"/>
    <s v="Licencia Sesame Advance ANUAL"/>
    <s v="license"/>
    <m/>
    <m/>
    <s v="No"/>
    <s v="No"/>
    <n v="0"/>
    <x v="68"/>
    <n v="3.15"/>
    <n v="3.15"/>
    <n v="3.15"/>
    <n v="3.15"/>
    <n v="5"/>
    <n v="3"/>
    <x v="8"/>
    <n v="3"/>
    <x v="0"/>
    <m/>
    <m/>
    <m/>
    <m/>
    <m/>
    <m/>
    <m/>
    <m/>
    <m/>
    <m/>
    <m/>
    <m/>
    <m/>
    <m/>
    <m/>
    <m/>
    <m/>
  </r>
  <r>
    <n v="197"/>
    <x v="3"/>
    <s v="Control Horario Ausarta 5 empleados"/>
    <s v="license"/>
    <m/>
    <m/>
    <s v="Sí"/>
    <s v="Sí"/>
    <n v="0"/>
    <x v="15"/>
    <n v="5"/>
    <n v="5"/>
    <n v="5"/>
    <n v="5"/>
    <n v="8"/>
    <n v="1"/>
    <x v="8"/>
    <n v="1"/>
    <x v="0"/>
    <m/>
    <m/>
    <m/>
    <m/>
    <m/>
    <m/>
    <m/>
    <m/>
    <m/>
    <m/>
    <m/>
    <m/>
    <m/>
    <m/>
    <m/>
    <m/>
    <m/>
  </r>
  <r>
    <n v="198"/>
    <x v="3"/>
    <s v="Control Horario Ausarta 10 empleados"/>
    <s v="license"/>
    <m/>
    <m/>
    <s v="Sí"/>
    <s v="Sí"/>
    <n v="0"/>
    <x v="44"/>
    <n v="10"/>
    <n v="10"/>
    <n v="10"/>
    <n v="10"/>
    <n v="14"/>
    <n v="0"/>
    <x v="0"/>
    <m/>
    <x v="0"/>
    <m/>
    <m/>
    <m/>
    <m/>
    <m/>
    <m/>
    <m/>
    <m/>
    <m/>
    <m/>
    <m/>
    <m/>
    <m/>
    <m/>
    <m/>
    <m/>
    <m/>
  </r>
  <r>
    <n v="199"/>
    <x v="3"/>
    <s v="Control Horario Ausarta 17 empleados"/>
    <s v="license"/>
    <m/>
    <m/>
    <s v="Sí"/>
    <s v="Sí"/>
    <n v="0"/>
    <x v="69"/>
    <n v="17"/>
    <n v="17"/>
    <n v="17"/>
    <n v="17"/>
    <n v="22"/>
    <n v="2"/>
    <x v="8"/>
    <n v="2"/>
    <x v="0"/>
    <m/>
    <m/>
    <m/>
    <m/>
    <m/>
    <m/>
    <m/>
    <m/>
    <m/>
    <m/>
    <m/>
    <m/>
    <m/>
    <m/>
    <m/>
    <m/>
    <m/>
  </r>
  <r>
    <n v="200"/>
    <x v="3"/>
    <s v="Control Horario Ausarta 25 empleados"/>
    <s v="license"/>
    <m/>
    <m/>
    <s v="Sí"/>
    <s v="Sí"/>
    <n v="0"/>
    <x v="70"/>
    <n v="25"/>
    <n v="25"/>
    <n v="25"/>
    <n v="25"/>
    <n v="30"/>
    <n v="1"/>
    <x v="8"/>
    <n v="1"/>
    <x v="0"/>
    <m/>
    <m/>
    <m/>
    <m/>
    <m/>
    <m/>
    <m/>
    <m/>
    <m/>
    <m/>
    <m/>
    <m/>
    <m/>
    <m/>
    <m/>
    <m/>
    <m/>
  </r>
  <r>
    <n v="201"/>
    <x v="3"/>
    <s v="Control Horario Ausarta 37 empleados"/>
    <s v="license"/>
    <m/>
    <m/>
    <s v="Sí"/>
    <s v="Sí"/>
    <n v="0"/>
    <x v="71"/>
    <n v="37"/>
    <n v="37"/>
    <n v="37"/>
    <n v="37"/>
    <n v="45"/>
    <n v="0"/>
    <x v="0"/>
    <m/>
    <x v="0"/>
    <m/>
    <m/>
    <m/>
    <m/>
    <m/>
    <m/>
    <m/>
    <m/>
    <m/>
    <m/>
    <m/>
    <m/>
    <m/>
    <m/>
    <m/>
    <m/>
    <m/>
  </r>
  <r>
    <n v="202"/>
    <x v="3"/>
    <s v="Control Horario Ausarta 50 empleados"/>
    <s v="license"/>
    <m/>
    <m/>
    <s v="Sí"/>
    <s v="Sí"/>
    <n v="0"/>
    <x v="72"/>
    <n v="50"/>
    <n v="50"/>
    <n v="50"/>
    <n v="50"/>
    <n v="60"/>
    <n v="0"/>
    <x v="0"/>
    <m/>
    <x v="0"/>
    <m/>
    <m/>
    <m/>
    <m/>
    <m/>
    <m/>
    <m/>
    <m/>
    <m/>
    <m/>
    <m/>
    <m/>
    <m/>
    <m/>
    <m/>
    <m/>
    <m/>
  </r>
  <r>
    <n v="203"/>
    <x v="3"/>
    <s v="Control Horario Ausarta 75 empleados"/>
    <s v="license"/>
    <m/>
    <m/>
    <s v="Sí"/>
    <s v="Sí"/>
    <n v="0"/>
    <x v="73"/>
    <n v="75"/>
    <n v="75"/>
    <n v="75"/>
    <n v="75"/>
    <n v="90"/>
    <n v="0"/>
    <x v="0"/>
    <m/>
    <x v="0"/>
    <m/>
    <m/>
    <m/>
    <m/>
    <m/>
    <m/>
    <m/>
    <m/>
    <m/>
    <m/>
    <m/>
    <m/>
    <m/>
    <m/>
    <m/>
    <m/>
    <m/>
  </r>
  <r>
    <n v="204"/>
    <x v="3"/>
    <s v="Control Horario Ausarta 100 empleados"/>
    <s v="license"/>
    <m/>
    <m/>
    <s v="Sí"/>
    <s v="Sí"/>
    <n v="0"/>
    <x v="74"/>
    <n v="100"/>
    <n v="100"/>
    <n v="100"/>
    <n v="100"/>
    <n v="130"/>
    <n v="0"/>
    <x v="0"/>
    <m/>
    <x v="0"/>
    <m/>
    <m/>
    <m/>
    <m/>
    <m/>
    <m/>
    <m/>
    <m/>
    <m/>
    <m/>
    <m/>
    <m/>
    <m/>
    <m/>
    <m/>
    <m/>
    <m/>
  </r>
  <r>
    <n v="211"/>
    <x v="3"/>
    <s v="Conexion SATELITE 500 GB"/>
    <s v="fibra"/>
    <m/>
    <m/>
    <s v="No"/>
    <s v="Sí"/>
    <n v="0"/>
    <x v="75"/>
    <n v="150"/>
    <n v="150"/>
    <n v="230"/>
    <n v="230"/>
    <n v="300"/>
    <n v="4"/>
    <x v="8"/>
    <n v="4"/>
    <x v="0"/>
    <m/>
    <m/>
    <m/>
    <m/>
    <m/>
    <m/>
    <m/>
    <m/>
    <m/>
    <m/>
    <m/>
    <m/>
    <m/>
    <m/>
    <m/>
    <m/>
    <m/>
  </r>
  <r>
    <n v="212"/>
    <x v="3"/>
    <s v="Conexión SATELITE 1.000 GB"/>
    <s v="fibra"/>
    <m/>
    <m/>
    <s v="No"/>
    <s v="Sí"/>
    <n v="0"/>
    <x v="76"/>
    <n v="230"/>
    <n v="230"/>
    <n v="300"/>
    <n v="300"/>
    <n v="350"/>
    <n v="0"/>
    <x v="0"/>
    <m/>
    <x v="0"/>
    <m/>
    <m/>
    <m/>
    <m/>
    <m/>
    <m/>
    <m/>
    <m/>
    <m/>
    <m/>
    <m/>
    <m/>
    <m/>
    <m/>
    <m/>
    <m/>
    <m/>
  </r>
  <r>
    <n v="230"/>
    <x v="3"/>
    <s v="Licencia Sesame HR TIME ANUAL"/>
    <s v="license"/>
    <m/>
    <m/>
    <s v="Sí"/>
    <s v="Sí"/>
    <n v="0"/>
    <x v="77"/>
    <n v="3.68"/>
    <n v="3.68"/>
    <n v="3.68"/>
    <n v="3.68"/>
    <n v="4"/>
    <n v="2"/>
    <x v="8"/>
    <n v="2"/>
    <x v="0"/>
    <m/>
    <m/>
    <m/>
    <m/>
    <m/>
    <m/>
    <m/>
    <m/>
    <m/>
    <m/>
    <m/>
    <m/>
    <m/>
    <m/>
    <m/>
    <m/>
    <m/>
  </r>
  <r>
    <n v="247"/>
    <x v="3"/>
    <s v="Licencia Microsoft 365 Copilot Business"/>
    <s v="license"/>
    <m/>
    <m/>
    <s v="Sí"/>
    <s v="Sí"/>
    <n v="0"/>
    <x v="78"/>
    <n v="16.89"/>
    <n v="16.89"/>
    <n v="16.89"/>
    <n v="16.89"/>
    <n v="20"/>
    <n v="3"/>
    <x v="8"/>
    <n v="3"/>
    <x v="0"/>
    <m/>
    <m/>
    <m/>
    <m/>
    <m/>
    <m/>
    <m/>
    <m/>
    <m/>
    <m/>
    <m/>
    <m/>
    <m/>
    <m/>
    <m/>
    <m/>
    <m/>
  </r>
  <r>
    <n v="217"/>
    <x v="4"/>
    <s v="Numeración inteligente 900"/>
    <s v="service"/>
    <s v="Incluye 300 min de llamadas recibidas. Después de los 300 min el precio de las llamadas recibidas será de 0,02€/min desde fijos y 0,045€/min desde móviles."/>
    <s v="Incluye 300 min de llamadas recibidas. Después de los 300 min el precio de las llamadas recibidas será de 0,02€/min desde fijos y 0,045€/min desde móviles."/>
    <s v="Sí"/>
    <s v="Sí"/>
    <n v="0"/>
    <x v="43"/>
    <n v="15"/>
    <n v="15"/>
    <n v="15"/>
    <n v="15"/>
    <n v="30"/>
    <n v="2"/>
    <x v="8"/>
    <n v="2"/>
    <x v="0"/>
    <m/>
    <m/>
    <m/>
    <m/>
    <m/>
    <m/>
    <m/>
    <m/>
    <m/>
    <m/>
    <m/>
    <m/>
    <m/>
    <m/>
    <m/>
    <m/>
    <m/>
  </r>
  <r>
    <n v="218"/>
    <x v="4"/>
    <s v="Numeración inteligente 902"/>
    <s v="service"/>
    <m/>
    <m/>
    <s v="No"/>
    <s v="Sí"/>
    <n v="0"/>
    <x v="43"/>
    <n v="15"/>
    <n v="15"/>
    <n v="15"/>
    <n v="15"/>
    <n v="30"/>
    <n v="0"/>
    <x v="0"/>
    <m/>
    <x v="0"/>
    <m/>
    <m/>
    <m/>
    <m/>
    <m/>
    <m/>
    <m/>
    <m/>
    <m/>
    <m/>
    <m/>
    <m/>
    <m/>
    <m/>
    <m/>
    <m/>
    <m/>
  </r>
  <r>
    <n v="248"/>
    <x v="4"/>
    <s v="Fijo Aire"/>
    <s v="service"/>
    <m/>
    <m/>
    <s v="Sí"/>
    <s v="Sí"/>
    <n v="0"/>
    <x v="79"/>
    <n v="3"/>
    <n v="3"/>
    <n v="4"/>
    <n v="4"/>
    <n v="5"/>
    <n v="30"/>
    <x v="2"/>
    <n v="28"/>
    <x v="5"/>
    <n v="2"/>
    <m/>
    <m/>
    <m/>
    <m/>
    <m/>
    <m/>
    <m/>
    <m/>
    <m/>
    <m/>
    <m/>
    <m/>
    <m/>
    <m/>
    <m/>
    <m/>
  </r>
  <r>
    <n v="249"/>
    <x v="4"/>
    <s v="Fijo Citelia"/>
    <s v="service"/>
    <m/>
    <m/>
    <s v="Sí"/>
    <s v="Sí"/>
    <n v="0"/>
    <x v="32"/>
    <n v="0"/>
    <n v="0"/>
    <n v="4"/>
    <n v="4"/>
    <n v="5"/>
    <n v="88"/>
    <x v="9"/>
    <n v="83"/>
    <x v="6"/>
    <n v="1"/>
    <s v="Citelia-Aire"/>
    <n v="1"/>
    <m/>
    <m/>
    <m/>
    <m/>
    <m/>
    <m/>
    <m/>
    <m/>
    <m/>
    <m/>
    <m/>
    <m/>
    <m/>
    <m/>
  </r>
  <r>
    <n v="67"/>
    <x v="5"/>
    <s v="Centralita iVoz"/>
    <s v="service"/>
    <m/>
    <m/>
    <s v="No"/>
    <s v="Sí"/>
    <n v="0"/>
    <x v="15"/>
    <n v="0"/>
    <n v="0"/>
    <n v="0"/>
    <n v="0"/>
    <n v="0"/>
    <n v="422"/>
    <x v="8"/>
    <n v="7"/>
    <x v="0"/>
    <m/>
    <m/>
    <m/>
    <m/>
    <m/>
    <m/>
    <m/>
    <m/>
    <m/>
    <m/>
    <m/>
    <m/>
    <m/>
    <m/>
    <m/>
    <m/>
    <m/>
  </r>
  <r>
    <n v="68"/>
    <x v="5"/>
    <s v="Centralita 3CX 4"/>
    <s v="service"/>
    <m/>
    <s v="licencia de 4 canales"/>
    <s v="No"/>
    <s v="No"/>
    <n v="0"/>
    <x v="80"/>
    <n v="0"/>
    <n v="0"/>
    <n v="0"/>
    <n v="0"/>
    <n v="0"/>
    <n v="33"/>
    <x v="8"/>
    <n v="1"/>
    <x v="0"/>
    <m/>
    <m/>
    <m/>
    <m/>
    <m/>
    <m/>
    <m/>
    <m/>
    <m/>
    <m/>
    <m/>
    <m/>
    <m/>
    <m/>
    <m/>
    <m/>
    <m/>
  </r>
  <r>
    <n v="69"/>
    <x v="5"/>
    <s v="Centralita 3CX 8"/>
    <s v="service"/>
    <m/>
    <s v="licencia de 8 canales"/>
    <s v="Sí"/>
    <s v="Sí"/>
    <n v="0"/>
    <x v="81"/>
    <n v="0"/>
    <n v="0"/>
    <n v="0"/>
    <n v="0"/>
    <n v="0"/>
    <n v="20"/>
    <x v="8"/>
    <n v="20"/>
    <x v="0"/>
    <m/>
    <m/>
    <m/>
    <m/>
    <m/>
    <m/>
    <m/>
    <m/>
    <m/>
    <m/>
    <m/>
    <m/>
    <m/>
    <m/>
    <m/>
    <m/>
    <m/>
  </r>
  <r>
    <n v="70"/>
    <x v="5"/>
    <s v="Centralita 3CX 16"/>
    <s v="service"/>
    <m/>
    <s v="licencia de 16 canales"/>
    <s v="Sí"/>
    <s v="Sí"/>
    <n v="0"/>
    <x v="73"/>
    <n v="0"/>
    <n v="0"/>
    <n v="0"/>
    <n v="0"/>
    <n v="0"/>
    <n v="2"/>
    <x v="8"/>
    <n v="1"/>
    <x v="0"/>
    <m/>
    <m/>
    <m/>
    <m/>
    <m/>
    <m/>
    <m/>
    <m/>
    <m/>
    <m/>
    <m/>
    <m/>
    <m/>
    <m/>
    <m/>
    <m/>
    <m/>
  </r>
  <r>
    <n v="71"/>
    <x v="5"/>
    <s v="Centralita 3CX 24"/>
    <s v="service"/>
    <m/>
    <s v="licencia de 24 canales"/>
    <s v="Sí"/>
    <s v="Sí"/>
    <n v="0"/>
    <x v="82"/>
    <n v="0"/>
    <n v="0"/>
    <n v="0"/>
    <n v="0"/>
    <n v="0"/>
    <n v="0"/>
    <x v="0"/>
    <m/>
    <x v="0"/>
    <m/>
    <m/>
    <m/>
    <m/>
    <m/>
    <m/>
    <m/>
    <m/>
    <m/>
    <m/>
    <m/>
    <m/>
    <m/>
    <m/>
    <m/>
    <m/>
    <m/>
  </r>
  <r>
    <n v="72"/>
    <x v="5"/>
    <s v="Centralita 3CX 32"/>
    <s v="service"/>
    <m/>
    <s v="licencia de 32 canales"/>
    <s v="Sí"/>
    <s v="Sí"/>
    <n v="0"/>
    <x v="83"/>
    <n v="0"/>
    <n v="0"/>
    <n v="0"/>
    <n v="0"/>
    <n v="0"/>
    <n v="3"/>
    <x v="8"/>
    <n v="1"/>
    <x v="0"/>
    <m/>
    <m/>
    <m/>
    <m/>
    <m/>
    <m/>
    <m/>
    <m/>
    <m/>
    <m/>
    <m/>
    <m/>
    <m/>
    <m/>
    <m/>
    <m/>
    <m/>
  </r>
  <r>
    <n v="86"/>
    <x v="5"/>
    <s v="Centralita CommsMundi"/>
    <s v="service"/>
    <m/>
    <m/>
    <s v="No"/>
    <s v="Sí"/>
    <n v="0"/>
    <x v="15"/>
    <n v="0"/>
    <n v="0"/>
    <n v="0"/>
    <n v="0"/>
    <n v="0"/>
    <n v="145"/>
    <x v="10"/>
    <n v="137"/>
    <x v="6"/>
    <n v="7"/>
    <m/>
    <m/>
    <m/>
    <m/>
    <m/>
    <m/>
    <m/>
    <m/>
    <m/>
    <m/>
    <m/>
    <m/>
    <m/>
    <m/>
    <m/>
    <m/>
  </r>
  <r>
    <n v="125"/>
    <x v="5"/>
    <s v="Centralita 3CX 64"/>
    <s v="service"/>
    <m/>
    <s v="licencia de 64 canales"/>
    <s v="No"/>
    <s v="No"/>
    <n v="0"/>
    <x v="84"/>
    <n v="0"/>
    <n v="0"/>
    <n v="0"/>
    <n v="0"/>
    <n v="0"/>
    <n v="0"/>
    <x v="0"/>
    <m/>
    <x v="0"/>
    <m/>
    <m/>
    <m/>
    <m/>
    <m/>
    <m/>
    <m/>
    <m/>
    <m/>
    <m/>
    <m/>
    <m/>
    <m/>
    <m/>
    <m/>
    <m/>
    <m/>
  </r>
  <r>
    <n v="144"/>
    <x v="5"/>
    <s v="Centralita 3CX 16 canales ENTERPRISE"/>
    <s v="service"/>
    <m/>
    <m/>
    <s v="Sí"/>
    <s v="Sí"/>
    <n v="0"/>
    <x v="82"/>
    <n v="0"/>
    <n v="0"/>
    <n v="0"/>
    <n v="0"/>
    <n v="0"/>
    <n v="0"/>
    <x v="0"/>
    <m/>
    <x v="0"/>
    <m/>
    <m/>
    <m/>
    <m/>
    <m/>
    <m/>
    <m/>
    <m/>
    <m/>
    <m/>
    <m/>
    <m/>
    <m/>
    <m/>
    <m/>
    <m/>
    <m/>
  </r>
  <r>
    <n v="156"/>
    <x v="5"/>
    <s v="Centralita 3CX 48"/>
    <s v="service"/>
    <m/>
    <m/>
    <s v="Sí"/>
    <s v="Sí"/>
    <n v="0"/>
    <x v="85"/>
    <n v="0"/>
    <n v="0"/>
    <n v="0"/>
    <n v="0"/>
    <n v="0"/>
    <n v="2"/>
    <x v="8"/>
    <n v="2"/>
    <x v="0"/>
    <m/>
    <m/>
    <m/>
    <m/>
    <m/>
    <m/>
    <m/>
    <m/>
    <m/>
    <m/>
    <m/>
    <m/>
    <m/>
    <m/>
    <m/>
    <m/>
    <m/>
  </r>
  <r>
    <n v="185"/>
    <x v="5"/>
    <s v="TRUNK SIP 5.000 min/mes a fijos y móviles + 2 canales de voz"/>
    <s v="service"/>
    <m/>
    <m/>
    <s v="Sí"/>
    <s v="Sí"/>
    <n v="0"/>
    <x v="44"/>
    <n v="45"/>
    <n v="45"/>
    <n v="95"/>
    <n v="95"/>
    <n v="150"/>
    <n v="0"/>
    <x v="0"/>
    <m/>
    <x v="0"/>
    <m/>
    <m/>
    <m/>
    <m/>
    <m/>
    <m/>
    <m/>
    <m/>
    <m/>
    <m/>
    <m/>
    <m/>
    <m/>
    <m/>
    <m/>
    <m/>
    <m/>
  </r>
  <r>
    <n v="207"/>
    <x v="5"/>
    <s v="Centralita Yeastar"/>
    <s v="service"/>
    <m/>
    <m/>
    <s v="Sí"/>
    <s v="Sí"/>
    <n v="0"/>
    <x v="32"/>
    <n v="0"/>
    <n v="0"/>
    <n v="0"/>
    <n v="0"/>
    <n v="15"/>
    <n v="637"/>
    <x v="8"/>
    <n v="229"/>
    <x v="0"/>
    <m/>
    <m/>
    <m/>
    <m/>
    <m/>
    <m/>
    <m/>
    <m/>
    <m/>
    <m/>
    <m/>
    <m/>
    <m/>
    <m/>
    <m/>
    <m/>
    <m/>
  </r>
  <r>
    <n v="17"/>
    <x v="6"/>
    <s v="Router 4G Monitorizado Vodafone 300 GB THR"/>
    <s v="connectivity"/>
    <m/>
    <s v="Router monitorizado, no permite movilidad"/>
    <s v="No"/>
    <s v="No"/>
    <n v="0"/>
    <x v="86"/>
    <n v="32"/>
    <n v="32"/>
    <n v="50"/>
    <n v="50"/>
    <n v="60"/>
    <n v="0"/>
    <x v="0"/>
    <m/>
    <x v="0"/>
    <m/>
    <m/>
    <m/>
    <m/>
    <m/>
    <m/>
    <m/>
    <m/>
    <m/>
    <m/>
    <m/>
    <m/>
    <m/>
    <m/>
    <m/>
    <m/>
    <m/>
  </r>
  <r>
    <n v="28"/>
    <x v="6"/>
    <s v="SIM 4G Movilidad Movistar ilimitado preferencia de red"/>
    <s v="connectivity"/>
    <m/>
    <s v="Router y ONT de movistar. Permanencia obligatoria 24 meses"/>
    <s v="Sí"/>
    <s v="Sí"/>
    <n v="0"/>
    <x v="4"/>
    <n v="65"/>
    <n v="65"/>
    <n v="80"/>
    <n v="80"/>
    <n v="100"/>
    <n v="5"/>
    <x v="1"/>
    <n v="4"/>
    <x v="7"/>
    <n v="1"/>
    <m/>
    <m/>
    <m/>
    <m/>
    <m/>
    <m/>
    <m/>
    <m/>
    <m/>
    <m/>
    <m/>
    <m/>
    <m/>
    <m/>
    <m/>
    <m/>
  </r>
  <r>
    <n v="29"/>
    <x v="6"/>
    <s v="Router 4G Monitorizado Vodafone 800 GB THR"/>
    <s v="connectivity"/>
    <m/>
    <s v="Router monitorizado, no permite movilidad"/>
    <s v="No"/>
    <s v="Sí"/>
    <n v="0"/>
    <x v="87"/>
    <n v="52"/>
    <n v="52"/>
    <n v="60"/>
    <n v="60"/>
    <n v="80"/>
    <n v="3"/>
    <x v="11"/>
    <n v="3"/>
    <x v="0"/>
    <m/>
    <m/>
    <m/>
    <m/>
    <m/>
    <m/>
    <m/>
    <m/>
    <m/>
    <m/>
    <m/>
    <m/>
    <m/>
    <m/>
    <m/>
    <m/>
    <m/>
  </r>
  <r>
    <n v="30"/>
    <x v="6"/>
    <s v="Router 4G Orange 90 GB"/>
    <s v="connectivity"/>
    <m/>
    <m/>
    <s v="No"/>
    <s v="Sí"/>
    <n v="0"/>
    <x v="88"/>
    <n v="23"/>
    <n v="23"/>
    <n v="40"/>
    <n v="40"/>
    <n v="60"/>
    <n v="12"/>
    <x v="11"/>
    <n v="12"/>
    <x v="0"/>
    <m/>
    <m/>
    <m/>
    <m/>
    <m/>
    <m/>
    <m/>
    <m/>
    <m/>
    <m/>
    <m/>
    <m/>
    <m/>
    <m/>
    <m/>
    <m/>
    <m/>
  </r>
  <r>
    <n v="33"/>
    <x v="6"/>
    <s v="SIM 4G Movilidad Orange ilimitado preferencia de red"/>
    <s v="connectivity"/>
    <m/>
    <s v="Router y ONT de Orange. Permanencia obligatoria 24 meses"/>
    <s v="Sí"/>
    <s v="Sí"/>
    <n v="0"/>
    <x v="4"/>
    <n v="65"/>
    <n v="65"/>
    <n v="80"/>
    <n v="80"/>
    <n v="100"/>
    <n v="0"/>
    <x v="0"/>
    <m/>
    <x v="0"/>
    <m/>
    <m/>
    <m/>
    <m/>
    <m/>
    <m/>
    <m/>
    <m/>
    <m/>
    <m/>
    <m/>
    <m/>
    <m/>
    <m/>
    <m/>
    <m/>
    <m/>
  </r>
  <r>
    <n v="36"/>
    <x v="6"/>
    <s v="Router Backup 4G Monitorizado"/>
    <s v="fibra"/>
    <m/>
    <s v="Router monitorizado, no permite movilidad"/>
    <s v="Sí"/>
    <s v="Sí"/>
    <n v="0"/>
    <x v="89"/>
    <n v="15"/>
    <n v="15"/>
    <n v="15"/>
    <n v="15"/>
    <n v="30"/>
    <n v="1203"/>
    <x v="1"/>
    <n v="1145"/>
    <x v="8"/>
    <n v="38"/>
    <s v="Desconocido"/>
    <n v="5"/>
    <s v="movistar"/>
    <n v="2"/>
    <s v="Vadavo"/>
    <n v="2"/>
    <s v="Ausarta Conecta"/>
    <n v="1"/>
    <m/>
    <m/>
    <m/>
    <m/>
    <m/>
    <m/>
    <m/>
    <m/>
  </r>
  <r>
    <n v="66"/>
    <x v="6"/>
    <s v="Router Backup 4G Monitorizado 300 GB VDF"/>
    <s v="fibra"/>
    <m/>
    <m/>
    <s v="No"/>
    <s v="No"/>
    <n v="0"/>
    <x v="86"/>
    <n v="32"/>
    <n v="32"/>
    <n v="50"/>
    <n v="50"/>
    <n v="60"/>
    <n v="2"/>
    <x v="11"/>
    <n v="1"/>
    <x v="9"/>
    <n v="1"/>
    <m/>
    <m/>
    <m/>
    <m/>
    <m/>
    <m/>
    <m/>
    <m/>
    <m/>
    <m/>
    <m/>
    <m/>
    <m/>
    <m/>
    <m/>
    <m/>
  </r>
  <r>
    <n v="78"/>
    <x v="6"/>
    <s v="Router Backup 4G Monitorizado M2M PTV"/>
    <s v="fibra"/>
    <m/>
    <m/>
    <s v="No"/>
    <s v="Sí"/>
    <n v="0"/>
    <x v="89"/>
    <n v="15"/>
    <n v="15"/>
    <n v="15"/>
    <n v="15"/>
    <n v="15"/>
    <n v="53"/>
    <x v="5"/>
    <n v="51"/>
    <x v="10"/>
    <n v="2"/>
    <m/>
    <m/>
    <m/>
    <m/>
    <m/>
    <m/>
    <m/>
    <m/>
    <m/>
    <m/>
    <m/>
    <m/>
    <m/>
    <m/>
    <m/>
    <m/>
  </r>
  <r>
    <n v="84"/>
    <x v="6"/>
    <s v="Router 4G Monitorizado Orange 350 GB PTV"/>
    <s v="connectivity"/>
    <m/>
    <s v="Router monitorizado, no permite movilidad"/>
    <s v="No"/>
    <s v="Sí"/>
    <n v="0"/>
    <x v="72"/>
    <n v="28"/>
    <n v="28"/>
    <n v="50"/>
    <n v="50"/>
    <n v="60"/>
    <n v="17"/>
    <x v="5"/>
    <n v="16"/>
    <x v="6"/>
    <n v="1"/>
    <m/>
    <m/>
    <m/>
    <m/>
    <m/>
    <m/>
    <m/>
    <m/>
    <m/>
    <m/>
    <m/>
    <m/>
    <m/>
    <m/>
    <m/>
    <m/>
  </r>
  <r>
    <n v="87"/>
    <x v="6"/>
    <s v="Router 4G Monitorizado Vodafone 300 GB VDV"/>
    <s v="connectivity"/>
    <m/>
    <m/>
    <s v="No"/>
    <s v="No"/>
    <n v="32"/>
    <x v="86"/>
    <n v="32"/>
    <n v="32"/>
    <n v="45"/>
    <n v="45"/>
    <n v="80"/>
    <n v="48"/>
    <x v="11"/>
    <n v="48"/>
    <x v="0"/>
    <m/>
    <m/>
    <m/>
    <m/>
    <m/>
    <m/>
    <m/>
    <m/>
    <m/>
    <m/>
    <m/>
    <m/>
    <m/>
    <m/>
    <m/>
    <m/>
    <m/>
  </r>
  <r>
    <n v="88"/>
    <x v="6"/>
    <s v="Router 4G Monitorizado Vodafone 800 GB VDV"/>
    <s v="connectivity"/>
    <m/>
    <m/>
    <s v="No"/>
    <s v="No"/>
    <n v="0"/>
    <x v="87"/>
    <n v="52"/>
    <n v="52"/>
    <n v="80"/>
    <n v="80"/>
    <n v="100"/>
    <n v="4"/>
    <x v="11"/>
    <n v="4"/>
    <x v="0"/>
    <m/>
    <m/>
    <m/>
    <m/>
    <m/>
    <m/>
    <m/>
    <m/>
    <m/>
    <m/>
    <m/>
    <m/>
    <m/>
    <m/>
    <m/>
    <m/>
    <m/>
  </r>
  <r>
    <n v="89"/>
    <x v="6"/>
    <s v="SIM 4G Movilidad Vodafone 300 GB"/>
    <s v="connectivity"/>
    <m/>
    <s v="Sim 4G para movilidad. No incluye Router"/>
    <s v="No"/>
    <s v="No"/>
    <n v="0"/>
    <x v="3"/>
    <n v="19"/>
    <n v="19"/>
    <n v="30"/>
    <n v="30"/>
    <n v="40"/>
    <n v="4"/>
    <x v="11"/>
    <n v="4"/>
    <x v="0"/>
    <m/>
    <m/>
    <m/>
    <m/>
    <m/>
    <m/>
    <m/>
    <m/>
    <m/>
    <m/>
    <m/>
    <m/>
    <m/>
    <m/>
    <m/>
    <m/>
    <m/>
  </r>
  <r>
    <n v="90"/>
    <x v="6"/>
    <s v="SIM 4G Movilidad Vodafone 300 GB VDV"/>
    <s v="connectivity"/>
    <m/>
    <m/>
    <s v="No"/>
    <s v="No"/>
    <n v="0"/>
    <x v="3"/>
    <n v="19"/>
    <n v="19"/>
    <n v="30"/>
    <n v="30"/>
    <n v="50"/>
    <n v="3"/>
    <x v="11"/>
    <n v="3"/>
    <x v="0"/>
    <m/>
    <m/>
    <m/>
    <m/>
    <m/>
    <m/>
    <m/>
    <m/>
    <m/>
    <m/>
    <m/>
    <m/>
    <m/>
    <m/>
    <m/>
    <m/>
    <m/>
  </r>
  <r>
    <n v="91"/>
    <x v="6"/>
    <s v="SIM 4G Movilidad Vodafone 800 GB"/>
    <s v="connectivity"/>
    <m/>
    <s v="Sim 4G para movilidad. No incluye Router"/>
    <s v="No"/>
    <s v="No"/>
    <n v="0"/>
    <x v="90"/>
    <n v="39"/>
    <n v="39"/>
    <n v="50"/>
    <n v="50"/>
    <n v="70"/>
    <n v="1"/>
    <x v="11"/>
    <n v="1"/>
    <x v="0"/>
    <m/>
    <m/>
    <m/>
    <m/>
    <m/>
    <m/>
    <m/>
    <m/>
    <m/>
    <m/>
    <m/>
    <m/>
    <m/>
    <m/>
    <m/>
    <m/>
    <m/>
  </r>
  <r>
    <n v="92"/>
    <x v="6"/>
    <s v="SIM 4G Movilidad Vodafone 800 GB VDV"/>
    <s v="connectivity"/>
    <m/>
    <m/>
    <s v="No"/>
    <s v="No"/>
    <n v="39"/>
    <x v="90"/>
    <n v="39"/>
    <n v="39"/>
    <n v="45"/>
    <n v="45"/>
    <n v="80"/>
    <n v="2"/>
    <x v="11"/>
    <n v="2"/>
    <x v="0"/>
    <m/>
    <m/>
    <m/>
    <m/>
    <m/>
    <m/>
    <m/>
    <m/>
    <m/>
    <m/>
    <m/>
    <m/>
    <m/>
    <m/>
    <m/>
    <m/>
    <m/>
  </r>
  <r>
    <n v="93"/>
    <x v="6"/>
    <s v="SIM 4G Movilidad Orange 350 GB PTV"/>
    <s v="connectivity"/>
    <m/>
    <s v="Sim 4G para movilidad. No incluye Router"/>
    <s v="No"/>
    <s v="Sí"/>
    <n v="0"/>
    <x v="89"/>
    <n v="15"/>
    <n v="15"/>
    <n v="40"/>
    <n v="40"/>
    <n v="40"/>
    <n v="21"/>
    <x v="5"/>
    <n v="21"/>
    <x v="0"/>
    <m/>
    <m/>
    <m/>
    <m/>
    <m/>
    <m/>
    <m/>
    <m/>
    <m/>
    <m/>
    <m/>
    <m/>
    <m/>
    <m/>
    <m/>
    <m/>
    <m/>
  </r>
  <r>
    <n v="119"/>
    <x v="6"/>
    <s v="Router Backup 4G Monitorizado Movistar 400 GB"/>
    <s v="fibra"/>
    <m/>
    <m/>
    <s v="No"/>
    <s v="Sí"/>
    <n v="32"/>
    <x v="86"/>
    <n v="32"/>
    <n v="32"/>
    <n v="45"/>
    <n v="45"/>
    <n v="80"/>
    <n v="7"/>
    <x v="1"/>
    <n v="4"/>
    <x v="6"/>
    <n v="1"/>
    <s v="movistar"/>
    <n v="1"/>
    <m/>
    <m/>
    <m/>
    <m/>
    <m/>
    <m/>
    <m/>
    <m/>
    <m/>
    <m/>
    <m/>
    <m/>
    <m/>
    <m/>
  </r>
  <r>
    <n v="120"/>
    <x v="6"/>
    <s v="Router 4G Monitorizado Movistar 400 GB"/>
    <s v="connectivity"/>
    <m/>
    <s v="Router monitorizado, no permite movilidad"/>
    <s v="Sí"/>
    <s v="Sí"/>
    <n v="0"/>
    <x v="86"/>
    <n v="32"/>
    <n v="32"/>
    <n v="45"/>
    <n v="45"/>
    <n v="80"/>
    <n v="92"/>
    <x v="12"/>
    <n v="64"/>
    <x v="9"/>
    <n v="18"/>
    <s v="Desconocido"/>
    <n v="7"/>
    <m/>
    <m/>
    <m/>
    <m/>
    <m/>
    <m/>
    <m/>
    <m/>
    <m/>
    <m/>
    <m/>
    <m/>
    <m/>
    <m/>
  </r>
  <r>
    <n v="121"/>
    <x v="6"/>
    <s v="SIM 4G Movilidad Movistar 400 GB"/>
    <s v="connectivity"/>
    <m/>
    <s v="Sim 4G para movilidad. No incluye Router"/>
    <s v="Sí"/>
    <s v="Sí"/>
    <n v="0"/>
    <x v="29"/>
    <n v="15"/>
    <n v="15"/>
    <n v="30"/>
    <n v="40"/>
    <n v="40"/>
    <n v="64"/>
    <x v="12"/>
    <n v="39"/>
    <x v="9"/>
    <n v="19"/>
    <s v="Desconocido"/>
    <n v="4"/>
    <m/>
    <m/>
    <m/>
    <m/>
    <m/>
    <m/>
    <m/>
    <m/>
    <m/>
    <m/>
    <m/>
    <m/>
    <m/>
    <m/>
  </r>
  <r>
    <n v="127"/>
    <x v="6"/>
    <s v="Router Backup Especial 4G Monitorizado"/>
    <s v="fibra"/>
    <m/>
    <m/>
    <s v="No"/>
    <s v="Sí"/>
    <n v="0"/>
    <x v="89"/>
    <n v="15"/>
    <n v="15"/>
    <n v="15"/>
    <n v="15"/>
    <n v="30"/>
    <n v="52"/>
    <x v="1"/>
    <n v="48"/>
    <x v="8"/>
    <n v="2"/>
    <s v="movistar"/>
    <n v="1"/>
    <s v="Citelia-Masmovil"/>
    <n v="1"/>
    <m/>
    <m/>
    <m/>
    <m/>
    <m/>
    <m/>
    <m/>
    <m/>
    <m/>
    <m/>
    <m/>
    <m/>
  </r>
  <r>
    <n v="161"/>
    <x v="6"/>
    <s v="Router 4G Monitorizado Vodafone 300 GB"/>
    <s v="connectivity"/>
    <m/>
    <m/>
    <s v="No"/>
    <s v="No"/>
    <n v="0"/>
    <x v="86"/>
    <n v="32"/>
    <n v="32"/>
    <n v="50"/>
    <n v="50"/>
    <n v="60"/>
    <n v="0"/>
    <x v="0"/>
    <m/>
    <x v="0"/>
    <m/>
    <m/>
    <m/>
    <m/>
    <m/>
    <m/>
    <m/>
    <m/>
    <m/>
    <m/>
    <m/>
    <m/>
    <m/>
    <m/>
    <m/>
    <m/>
    <m/>
  </r>
  <r>
    <n v="162"/>
    <x v="6"/>
    <s v="Router 4G Monitorizado Vodafone 800 GB"/>
    <s v="connectivity"/>
    <m/>
    <m/>
    <s v="No"/>
    <s v="No"/>
    <n v="0"/>
    <x v="87"/>
    <n v="52"/>
    <n v="52"/>
    <n v="80"/>
    <n v="80"/>
    <n v="100"/>
    <n v="0"/>
    <x v="0"/>
    <m/>
    <x v="0"/>
    <m/>
    <m/>
    <m/>
    <m/>
    <m/>
    <m/>
    <m/>
    <m/>
    <m/>
    <m/>
    <m/>
    <m/>
    <m/>
    <m/>
    <m/>
    <m/>
    <m/>
  </r>
  <r>
    <n v="184"/>
    <x v="6"/>
    <s v="SIM MOVILIDAD ORANGE 700 GB VADAVO"/>
    <s v="connectivity"/>
    <m/>
    <m/>
    <s v="Sí"/>
    <s v="Sí"/>
    <n v="0"/>
    <x v="90"/>
    <n v="39"/>
    <n v="39"/>
    <n v="50"/>
    <n v="50"/>
    <n v="80"/>
    <n v="19"/>
    <x v="11"/>
    <n v="19"/>
    <x v="0"/>
    <m/>
    <m/>
    <m/>
    <m/>
    <m/>
    <m/>
    <m/>
    <m/>
    <m/>
    <m/>
    <m/>
    <m/>
    <m/>
    <m/>
    <m/>
    <m/>
    <m/>
  </r>
  <r>
    <n v="187"/>
    <x v="6"/>
    <s v="Router 4G Monitorizado ORANGE 700 GB VADAVO"/>
    <s v="connectivity"/>
    <m/>
    <m/>
    <s v="Sí"/>
    <s v="Sí"/>
    <n v="0"/>
    <x v="87"/>
    <n v="52"/>
    <n v="52"/>
    <n v="80"/>
    <n v="80"/>
    <n v="100"/>
    <n v="5"/>
    <x v="11"/>
    <n v="3"/>
    <x v="10"/>
    <n v="2"/>
    <m/>
    <m/>
    <m/>
    <m/>
    <m/>
    <m/>
    <m/>
    <m/>
    <m/>
    <m/>
    <m/>
    <m/>
    <m/>
    <m/>
    <m/>
    <m/>
  </r>
  <r>
    <n v="191"/>
    <x v="6"/>
    <s v="SIM MOVILIDAD ORANGE 700GB VDV"/>
    <s v="connectivity"/>
    <m/>
    <m/>
    <s v="No"/>
    <s v="No"/>
    <n v="0"/>
    <x v="90"/>
    <n v="39"/>
    <n v="39"/>
    <n v="50"/>
    <n v="50"/>
    <n v="70"/>
    <n v="0"/>
    <x v="0"/>
    <m/>
    <x v="0"/>
    <m/>
    <m/>
    <m/>
    <m/>
    <m/>
    <m/>
    <m/>
    <m/>
    <m/>
    <m/>
    <m/>
    <m/>
    <m/>
    <m/>
    <m/>
    <m/>
    <m/>
  </r>
  <r>
    <n v="195"/>
    <x v="6"/>
    <s v="SIM 4G Movilidad Vodafone 350 GB PTV"/>
    <s v="connectivity"/>
    <m/>
    <m/>
    <s v="No"/>
    <s v="Sí"/>
    <n v="0"/>
    <x v="89"/>
    <n v="15"/>
    <n v="15"/>
    <n v="30"/>
    <n v="30"/>
    <n v="50"/>
    <n v="2"/>
    <x v="5"/>
    <n v="2"/>
    <x v="0"/>
    <m/>
    <m/>
    <m/>
    <m/>
    <m/>
    <m/>
    <m/>
    <m/>
    <m/>
    <m/>
    <m/>
    <m/>
    <m/>
    <m/>
    <m/>
    <m/>
    <m/>
  </r>
  <r>
    <n v="196"/>
    <x v="6"/>
    <s v="Tunel Especial"/>
    <s v="fibra"/>
    <m/>
    <m/>
    <s v="No"/>
    <s v="Sí"/>
    <n v="0"/>
    <x v="32"/>
    <n v="0"/>
    <n v="0"/>
    <n v="0"/>
    <n v="0"/>
    <n v="0"/>
    <n v="1"/>
    <x v="12"/>
    <n v="1"/>
    <x v="0"/>
    <m/>
    <m/>
    <m/>
    <m/>
    <m/>
    <m/>
    <m/>
    <m/>
    <m/>
    <m/>
    <m/>
    <m/>
    <m/>
    <m/>
    <m/>
    <m/>
    <m/>
  </r>
  <r>
    <n v="234"/>
    <x v="6"/>
    <s v="SIM 4G Movilidad Vodafone Thorsten 1.000 GB"/>
    <s v="connectivity"/>
    <m/>
    <m/>
    <s v="Sí"/>
    <s v="Sí"/>
    <n v="23"/>
    <x v="88"/>
    <n v="23"/>
    <n v="23"/>
    <n v="35"/>
    <n v="45"/>
    <n v="50"/>
    <n v="5"/>
    <x v="13"/>
    <n v="5"/>
    <x v="0"/>
    <m/>
    <m/>
    <m/>
    <m/>
    <m/>
    <m/>
    <m/>
    <m/>
    <m/>
    <m/>
    <m/>
    <m/>
    <m/>
    <m/>
    <m/>
    <m/>
    <m/>
  </r>
  <r>
    <n v="235"/>
    <x v="6"/>
    <s v="Router 4G Monitorizado Vodafone Thorsten 1.000 GB"/>
    <s v="connectivity"/>
    <m/>
    <m/>
    <s v="Sí"/>
    <s v="Sí"/>
    <n v="0"/>
    <x v="90"/>
    <n v="39"/>
    <n v="39"/>
    <n v="50"/>
    <n v="50"/>
    <n v="90"/>
    <n v="122"/>
    <x v="13"/>
    <n v="121"/>
    <x v="7"/>
    <n v="1"/>
    <m/>
    <m/>
    <m/>
    <m/>
    <m/>
    <m/>
    <m/>
    <m/>
    <m/>
    <m/>
    <m/>
    <m/>
    <m/>
    <m/>
    <m/>
    <m/>
  </r>
  <r>
    <n v="57"/>
    <x v="7"/>
    <s v="M2M Movistar 100 MB"/>
    <s v="connectivity"/>
    <s v="PVP sms nacional 0,10&amp;euro /sms. PVP llamada nacional 0,20&amp;euro /min. Inicialmente se activan todas las M2M sin sms ni llamadas, lo tendr&amp;aacute  que solicitar el cliente y se le informa del precio minuto"/>
    <s v="PVP sms nacional 0,10/sms. PVP llamada nacional 0,20/min. Inicialmente se activan todas las M2M sin sms ni llamadas, lo tendrá que solicitar el cliente y se le informa del precio minuto"/>
    <s v="Sí"/>
    <s v="Sí"/>
    <n v="0"/>
    <x v="91"/>
    <n v="0.75"/>
    <n v="0.75"/>
    <n v="2"/>
    <n v="2"/>
    <n v="3"/>
    <n v="98"/>
    <x v="1"/>
    <n v="98"/>
    <x v="0"/>
    <m/>
    <m/>
    <m/>
    <m/>
    <m/>
    <m/>
    <m/>
    <m/>
    <m/>
    <m/>
    <m/>
    <m/>
    <m/>
    <m/>
    <m/>
    <m/>
    <m/>
  </r>
  <r>
    <n v="58"/>
    <x v="7"/>
    <s v="M2M Movistar 1 GB"/>
    <s v="connectivity"/>
    <s v="PVP sms nacional 0,10&amp;euro /sms. PVP llamada nacional 0,20&amp;euro /min. Inicialmente se activan todas las M2M sin sms ni llamadas, lo tendr&amp;aacute  que solicitar el cliente y se le informa del precio minuto"/>
    <s v="PVP sms nacional 0,10/sms. PVP llamada nacional 0,20/min. Inicialmente se activan todas las M2M sin sms ni llamadas, lo tendrá que solicitar el cliente y se le informa del precio minuto"/>
    <s v="Sí"/>
    <s v="Sí"/>
    <n v="0"/>
    <x v="15"/>
    <n v="2"/>
    <n v="2"/>
    <n v="3"/>
    <n v="3"/>
    <n v="5"/>
    <n v="201"/>
    <x v="1"/>
    <n v="201"/>
    <x v="0"/>
    <m/>
    <m/>
    <m/>
    <m/>
    <m/>
    <m/>
    <m/>
    <m/>
    <m/>
    <m/>
    <m/>
    <m/>
    <m/>
    <m/>
    <m/>
    <m/>
    <m/>
  </r>
  <r>
    <n v="59"/>
    <x v="7"/>
    <s v="M2M Orange 1 GB"/>
    <s v="connectivity"/>
    <s v="PVP sms nacional 0,10&amp;euro /sms. PVP llamada nacional 0,20&amp;euro /min. Inicialmente se activan todas las M2M sin sms ni llamadas, lo tendr&amp;aacute  que solicitar el cliente y se le informa del precio minuto"/>
    <s v="PVP sms nacional 0,10/sms. PVP llamada nacional 0,20/min. Inicialmente se activan todas las M2M sin sms ni llamadas, lo tendrá que solicitar el cliente y se le informa del precio minuto"/>
    <s v="Sí"/>
    <s v="Sí"/>
    <n v="0"/>
    <x v="92"/>
    <n v="2"/>
    <n v="2"/>
    <n v="3"/>
    <n v="3"/>
    <n v="5"/>
    <n v="2"/>
    <x v="5"/>
    <n v="2"/>
    <x v="0"/>
    <m/>
    <m/>
    <m/>
    <m/>
    <m/>
    <m/>
    <m/>
    <m/>
    <m/>
    <m/>
    <m/>
    <m/>
    <m/>
    <m/>
    <m/>
    <m/>
    <m/>
  </r>
  <r>
    <n v="63"/>
    <x v="7"/>
    <s v="M2M MULTIOPERADOR 100 Mb"/>
    <s v="connectivity"/>
    <s v="PVP sms nacional 0,15&amp;euro /sms"/>
    <s v="PVP sms nacional 0,15/sms no tienen posibilidad llamadas"/>
    <s v="Sí"/>
    <s v="Sí"/>
    <n v="6"/>
    <x v="93"/>
    <n v="3.5"/>
    <n v="3.5"/>
    <n v="5"/>
    <n v="5"/>
    <n v="6"/>
    <n v="0"/>
    <x v="0"/>
    <m/>
    <x v="0"/>
    <m/>
    <m/>
    <m/>
    <m/>
    <m/>
    <m/>
    <m/>
    <m/>
    <m/>
    <m/>
    <m/>
    <m/>
    <m/>
    <m/>
    <m/>
    <m/>
    <m/>
  </r>
  <r>
    <n v="115"/>
    <x v="8"/>
    <s v="Firewall Checkpoint"/>
    <s v="security"/>
    <m/>
    <s v="Incluye equipo, instalación, configuracion, mantenimiento y soporte."/>
    <s v="No"/>
    <s v="Sí"/>
    <n v="0"/>
    <x v="73"/>
    <n v="78"/>
    <n v="78"/>
    <n v="120"/>
    <n v="120"/>
    <n v="120"/>
    <n v="10"/>
    <x v="8"/>
    <n v="10"/>
    <x v="0"/>
    <m/>
    <m/>
    <m/>
    <m/>
    <m/>
    <m/>
    <m/>
    <m/>
    <m/>
    <m/>
    <m/>
    <m/>
    <m/>
    <m/>
    <m/>
    <m/>
    <m/>
  </r>
  <r>
    <n v="116"/>
    <x v="8"/>
    <s v="Firewall Fortinet 40F"/>
    <s v="security"/>
    <m/>
    <s v="Incluye equipo, instalación, configuracion, mantenimiento y soporte."/>
    <s v="Sí"/>
    <s v="Sí"/>
    <n v="0"/>
    <x v="94"/>
    <n v="90"/>
    <n v="90"/>
    <n v="150"/>
    <n v="150"/>
    <n v="200"/>
    <n v="11"/>
    <x v="8"/>
    <n v="11"/>
    <x v="0"/>
    <m/>
    <m/>
    <m/>
    <m/>
    <m/>
    <m/>
    <m/>
    <m/>
    <m/>
    <m/>
    <m/>
    <m/>
    <m/>
    <m/>
    <m/>
    <m/>
    <m/>
  </r>
  <r>
    <n v="236"/>
    <x v="8"/>
    <s v="VDOM Principal"/>
    <s v="security"/>
    <m/>
    <m/>
    <s v="Sí"/>
    <s v="Sí"/>
    <n v="0"/>
    <x v="95"/>
    <n v="60"/>
    <n v="60"/>
    <n v="200"/>
    <n v="200"/>
    <n v="300"/>
    <n v="1"/>
    <x v="8"/>
    <n v="1"/>
    <x v="0"/>
    <m/>
    <m/>
    <m/>
    <m/>
    <m/>
    <m/>
    <m/>
    <m/>
    <m/>
    <m/>
    <m/>
    <m/>
    <m/>
    <m/>
    <m/>
    <m/>
    <m/>
  </r>
  <r>
    <n v="118"/>
    <x v="9"/>
    <s v="Bono VoIP internacional Zona 1 (1000 min)"/>
    <s v="service"/>
    <m/>
    <s v="Incluye 1.000 min/mes a fijos y moviles UNION EUROPEA._x000d__x000a_&lt;ul&gt;_x000d__x000a_  &lt;li&gt;Albania&lt;/li&gt;_x000d__x000a_  &lt;li&gt;Alemania - No geografico&lt;/li&gt;_x000d__x000a_  &lt;li&gt;Austria&lt;/li&gt;_x000d__x000a_  &lt;li&gt;Bélgica&lt;/li&gt;_x000d__x000a_  &lt;li&gt;Bosnia y Herzegovina&lt;/li&gt;_x000d__x000a_  &lt;li&gt;Bulgaria&lt;/li&gt;_x000d__x000a_  &lt;li&gt;Canadá&lt;/li&gt;_x000d__x000a_  &lt;li&gt;Croacia&lt;/li&gt;_x000d__x000a_  &lt;li&gt;Chipre&lt;/li&gt;_x000d__x000a_  &lt;li&gt;República Checa&lt;/li&gt;_x000d__x000a_  &lt;li&gt;Dinamarca&lt;/li&gt;_x000d__x000a_  &lt;li&gt;Dinamarca - Mobile-Sonofon&lt;/li&gt;_x000d__x000a_  &lt;li&gt;Dinamarca - Mobile-Telia&lt;/li&gt;_x000d__x000a_  &lt;li&gt;Eslovenia - Móvil&lt;/li&gt;_x000d__x000a_  &lt;li&gt;Estonia&lt;/li&gt;_x000d__x000a_  &lt;li&gt;Islas Feroe&lt;/li&gt;_x000d__x000a_  &lt;li&gt;Finlandia&lt;/li&gt;_x000d__x000a_  &lt;li&gt;Francia&lt;/li&gt;_x000d__x000a_  &lt;li&gt;Francia - Mobile-Free&lt;/li&gt;_x000d__x000a_  &lt;li&gt;Alemania&lt;/li&gt;_x000d__x000a_  &lt;li&gt;Gibraltar&lt;/li&gt;_x000d__x000a_  &lt;li&gt;Grecia&lt;/li&gt;_x000d__x000a_  &lt;li&gt;Hungría&lt;/li&gt;_x000d__x000a_  &lt;li&gt;Islandia&lt;/li&gt;_x000d__x000a_  &lt;li&gt;Irlanda&lt;/li&gt;_x000d__x000a_  &lt;li&gt;Irlanda - Dublín&lt;/li&gt;_x000d__x000a_  &lt;li&gt;Italia&lt;/li&gt;_x000d__x000a_  &lt;li&gt;Italia - OTHER MOBILE&lt;/li&gt;_x000d__x000a_  &lt;li&gt;Italia - Vodafone móvil&lt;/li&gt;_x000d__x000a_  &lt;li&gt;Letonia&lt;/li&gt;_x000d__x000a_  &lt;li&gt;Liechtenstein&lt;/li&gt;_x000d__x000a_  &lt;li&gt;Lituania&lt;/li&gt;_x000d__x000a_  &lt;li&gt;Lituania - Special Services&lt;/li&gt;_x000d__x000a_  &lt;li&gt;Luxemburgo&lt;/li&gt;_x000d__x000a_  &lt;li&gt;Macedonia&lt;/li&gt;_x000d__x000a_  &lt;li&gt;Malta&lt;/li&gt;_x000d__x000a_  &lt;li&gt;Montenegro&lt;/li&gt;_x000d__x000a_  &lt;li&gt;Países Bajos&lt;/li&gt;_x000d__x000a_  &lt;li&gt;Países Bajos - Freephone&lt;/li&gt;_x000d__x000a_  &lt;li&gt;Noruega&lt;/li&gt;_x000d__x000a_  &lt;li&gt;Noruega - Mobile-Netcom&lt;/li&gt;_x000d__x000a_  &lt;li&gt;Polonia&lt;/li&gt;_x000d__x000a_  &lt;li&gt;Polonia - Mobile-Play&lt;/li&gt;_x000d__x000a_  &lt;li&gt;Portugal&lt;/li&gt;_x000d__x000a_  &lt;li&gt;Rumanía&lt;/li&gt;_x000d__x000a_  &lt;li&gt;San Marino&lt;/li&gt;_x000d__x000a_  &lt;li&gt;Serbia&lt;/li&gt;_x000d__x000a_  &lt;li&gt;San Martín&lt;/li&gt;_x000d__x000a_  &lt;li&gt;Eslovaquia&lt;/li&gt;_x000d__x000a_  &lt;li&gt;Eslovenia&lt;/li&gt;_x000d__x000a_  &lt;li&gt;Suecia&lt;/li&gt;_x000d__x000a_  &lt;li&gt;Suecia - Freephone&lt;/li&gt;_x000d__x000a_  &lt;li&gt;Reino Unido&lt;/li&gt;_x000d__x000a_  &lt;li&gt;Reino Unido - Mobile&lt;/li&gt;_x000d__x000a_  &lt;li&gt;Reino Unido - Mobile-H3G&lt;/li&gt;_x000d__x000a_  &lt;li&gt;Estados Unidos&lt;/li&gt;_x000d__x000a_  &lt;li&gt;Islas Vírgenes&lt;/li&gt;_x000d__x000a_&lt;/ul&gt;"/>
    <s v="Sí"/>
    <s v="Sí"/>
    <n v="0"/>
    <x v="96"/>
    <n v="12"/>
    <n v="12"/>
    <n v="20"/>
    <n v="20"/>
    <n v="40"/>
    <n v="52"/>
    <x v="8"/>
    <n v="25"/>
    <x v="0"/>
    <m/>
    <m/>
    <m/>
    <m/>
    <m/>
    <m/>
    <m/>
    <m/>
    <m/>
    <m/>
    <m/>
    <m/>
    <m/>
    <m/>
    <m/>
    <m/>
    <m/>
  </r>
  <r>
    <n v="135"/>
    <x v="9"/>
    <s v="Bono Roaming 100 min"/>
    <s v="tarifa"/>
    <m/>
    <m/>
    <s v="No"/>
    <s v="Sí"/>
    <n v="0"/>
    <x v="97"/>
    <n v="28.93"/>
    <n v="28.93"/>
    <n v="30"/>
    <n v="35"/>
    <n v="50"/>
    <n v="0"/>
    <x v="0"/>
    <m/>
    <x v="0"/>
    <m/>
    <m/>
    <m/>
    <m/>
    <m/>
    <m/>
    <m/>
    <m/>
    <m/>
    <m/>
    <m/>
    <m/>
    <m/>
    <m/>
    <m/>
    <m/>
    <m/>
  </r>
  <r>
    <n v="136"/>
    <x v="9"/>
    <s v="Bono 100 min INTERNACIONALES plus"/>
    <s v="tarifa"/>
    <m/>
    <m/>
    <s v="No"/>
    <s v="Sí"/>
    <n v="0"/>
    <x v="98"/>
    <n v="4.05"/>
    <n v="4.05"/>
    <n v="7"/>
    <n v="7"/>
    <n v="8"/>
    <n v="0"/>
    <x v="0"/>
    <m/>
    <x v="0"/>
    <m/>
    <m/>
    <m/>
    <m/>
    <m/>
    <m/>
    <m/>
    <m/>
    <m/>
    <m/>
    <m/>
    <m/>
    <m/>
    <m/>
    <m/>
    <m/>
    <m/>
  </r>
  <r>
    <n v="137"/>
    <x v="9"/>
    <s v="Bono 300 min INTERNACIONALES plus"/>
    <s v="tarifa"/>
    <m/>
    <m/>
    <s v="No"/>
    <s v="Sí"/>
    <n v="0"/>
    <x v="99"/>
    <n v="9.84"/>
    <n v="9.84"/>
    <n v="12"/>
    <n v="15"/>
    <n v="15"/>
    <n v="0"/>
    <x v="0"/>
    <m/>
    <x v="0"/>
    <m/>
    <m/>
    <m/>
    <m/>
    <m/>
    <m/>
    <m/>
    <m/>
    <m/>
    <m/>
    <m/>
    <m/>
    <m/>
    <m/>
    <m/>
    <m/>
    <m/>
  </r>
  <r>
    <n v="139"/>
    <x v="9"/>
    <s v="Bono ROYME 1000 min/mes VoiP Marruecos"/>
    <s v="service"/>
    <m/>
    <m/>
    <s v="No"/>
    <s v="Sí"/>
    <n v="0"/>
    <x v="43"/>
    <n v="30"/>
    <n v="30"/>
    <n v="50"/>
    <n v="50"/>
    <n v="60"/>
    <n v="1"/>
    <x v="8"/>
    <n v="1"/>
    <x v="0"/>
    <m/>
    <m/>
    <m/>
    <m/>
    <m/>
    <m/>
    <m/>
    <m/>
    <m/>
    <m/>
    <m/>
    <m/>
    <m/>
    <m/>
    <m/>
    <m/>
    <m/>
  </r>
  <r>
    <n v="140"/>
    <x v="9"/>
    <s v="Bono masivo 2000 sms"/>
    <s v="tarifa"/>
    <m/>
    <m/>
    <s v="No"/>
    <s v="Sí"/>
    <n v="0"/>
    <x v="100"/>
    <n v="99"/>
    <n v="99"/>
    <n v="99"/>
    <n v="99"/>
    <n v="150"/>
    <n v="3"/>
    <x v="8"/>
    <n v="2"/>
    <x v="5"/>
    <n v="1"/>
    <m/>
    <m/>
    <m/>
    <m/>
    <m/>
    <m/>
    <m/>
    <m/>
    <m/>
    <m/>
    <m/>
    <m/>
    <m/>
    <m/>
    <m/>
    <m/>
  </r>
  <r>
    <n v="171"/>
    <x v="9"/>
    <s v="Bono FIJO 5000 min a fijos y moviles nacionales"/>
    <s v="service"/>
    <m/>
    <m/>
    <s v="Sí"/>
    <s v="Sí"/>
    <n v="0"/>
    <x v="96"/>
    <n v="12"/>
    <n v="12"/>
    <n v="20"/>
    <n v="20"/>
    <n v="40"/>
    <n v="1"/>
    <x v="8"/>
    <n v="1"/>
    <x v="0"/>
    <m/>
    <m/>
    <m/>
    <m/>
    <m/>
    <m/>
    <m/>
    <m/>
    <m/>
    <m/>
    <m/>
    <m/>
    <m/>
    <m/>
    <m/>
    <m/>
    <m/>
  </r>
  <r>
    <n v="192"/>
    <x v="9"/>
    <s v="Bono FIJO 20.000 min a fijos y moviles nacionales"/>
    <s v="service"/>
    <m/>
    <m/>
    <s v="Sí"/>
    <s v="Sí"/>
    <n v="0"/>
    <x v="101"/>
    <n v="48"/>
    <n v="48"/>
    <n v="80"/>
    <n v="80"/>
    <n v="140"/>
    <n v="1"/>
    <x v="8"/>
    <n v="1"/>
    <x v="0"/>
    <m/>
    <m/>
    <m/>
    <m/>
    <m/>
    <m/>
    <m/>
    <m/>
    <m/>
    <m/>
    <m/>
    <m/>
    <m/>
    <m/>
    <m/>
    <m/>
    <m/>
  </r>
  <r>
    <n v="213"/>
    <x v="9"/>
    <s v="Bono VoIP LATAM 100 min"/>
    <s v="service"/>
    <m/>
    <s v="Brasil, Colombia, Costa Rica, México, Paraguay, Perú ,Puerto Rico, República Dominicana, Venezuela"/>
    <s v="Sí"/>
    <s v="Sí"/>
    <n v="0"/>
    <x v="96"/>
    <n v="10"/>
    <n v="10"/>
    <n v="20"/>
    <n v="20"/>
    <n v="30"/>
    <n v="0"/>
    <x v="0"/>
    <m/>
    <x v="0"/>
    <m/>
    <m/>
    <m/>
    <m/>
    <m/>
    <m/>
    <m/>
    <m/>
    <m/>
    <m/>
    <m/>
    <m/>
    <m/>
    <m/>
    <m/>
    <m/>
    <m/>
  </r>
  <r>
    <n v="214"/>
    <x v="9"/>
    <s v="Bono VoIP LATAM 500 min"/>
    <s v="service"/>
    <m/>
    <s v="Brasil, Colombia, Costa Rica, México, Paraguay, Perú ,Puerto Rico, República Dominicana, Venezuela"/>
    <s v="Sí"/>
    <s v="Sí"/>
    <n v="0"/>
    <x v="70"/>
    <n v="15"/>
    <n v="15"/>
    <n v="25"/>
    <n v="25"/>
    <n v="50"/>
    <n v="3"/>
    <x v="8"/>
    <n v="3"/>
    <x v="0"/>
    <m/>
    <m/>
    <m/>
    <m/>
    <m/>
    <m/>
    <m/>
    <m/>
    <m/>
    <m/>
    <m/>
    <m/>
    <m/>
    <m/>
    <m/>
    <m/>
    <m/>
  </r>
  <r>
    <n v="231"/>
    <x v="9"/>
    <s v="Bono VoIP Asia (Zona 4) 100 min"/>
    <s v="service"/>
    <s v="Zona 4: Afghanistan, Bahrain, Bangladesh, Bhutan, Brunei, Cambodia, China, East Timor, Hong Kong, India, Indonesia, Iran, Iraq, Israel, Japan, Jordan, Kazajstán, Kirgistan, Korea South, Kuwait, Kyrgyzstan, Laos, Lebanon, Macau, Malaysia, Mongolia, Myanmar, Nepal, Oman, Pakistan, Palestine, Philippines, Qatar, Saudi Arabia, Singapore, Siria, Sri Lanka, Tadzhikistan, Tailandia, Taiwan, Turkey, Turkmenistan, United Arab Emirates, Uzbekistan, Vietnam, Yemen Arab Rep."/>
    <s v="Zona 4: Afghanistan, Bahrain, Bangladesh, Bhutan, Brunei, Cambodia, China, East Timor, Hong Kong, India, Indonesia, Iran, Iraq, Israel, Japan, Jordan, Kazajstán, Kirgistan, Korea South, Kuwait, Kyrgyzstan, Laos, Lebanon, Macau, Malaysia, Mongolia, Myanmar, Nepal, Oman, Pakistan, Palestine, Philippines, Qatar, Saudi Arabia, Singapore, Siria, Sri Lanka, Tadzhikistan, Tailandia, Taiwan, Turkey, Turkmenistan, United Arab Emirates, Uzbekistan, Vietnam, Yemen Arab Rep."/>
    <s v="Sí"/>
    <s v="Sí"/>
    <n v="0"/>
    <x v="0"/>
    <n v="25"/>
    <n v="25"/>
    <n v="40"/>
    <n v="40"/>
    <n v="80"/>
    <n v="0"/>
    <x v="0"/>
    <m/>
    <x v="0"/>
    <m/>
    <m/>
    <m/>
    <m/>
    <m/>
    <m/>
    <m/>
    <m/>
    <m/>
    <m/>
    <m/>
    <m/>
    <m/>
    <m/>
    <m/>
    <m/>
    <m/>
  </r>
  <r>
    <n v="232"/>
    <x v="9"/>
    <s v="Bono VoIP Asia (Zona 4) 500 min"/>
    <s v="service"/>
    <s v="Zona 4: Afghanistan, Bahrain, Bangladesh, Bhutan, Brunei, Cambodia, China, East Timor, Hong Kong, India, Indonesia, Iran, Iraq, Israel, Japan, Jordan, Kazajstán, Kirgistan, Korea South, Kuwait, Kyrgyzstan, Laos, Lebanon, Macau, Malaysia, Mongolia, Myanmar, Nepal, Oman, Pakistan, Palestine, Philippines, Qatar, Saudi Arabia, Singapore, Siria, Sri Lanka, Tadzhikistan, Tailandia, Taiwan, Turkey, Turkmenistan, United Arab Emirates, Uzbekistan, Vietnam, Yemen Arab Rep."/>
    <s v="Zona 4: Afghanistan, Bahrain, Bangladesh, Bhutan, Brunei, Cambodia, China, East Timor, Hong Kong, India, Indonesia, Iran, Iraq, Israel, Japan, Jordan, Kazajstán, Kirgistan, Korea South, Kuwait, Kyrgyzstan, Laos, Lebanon, Macau, Malaysia, Mongolia, Myanmar, Nepal, Oman, Pakistan, Palestine, Philippines, Qatar, Saudi Arabia, Singapore, Siria, Sri Lanka, Tadzhikistan, Tailandia, Taiwan, Turkey, Turkmenistan, United Arab Emirates, Uzbekistan, Vietnam, Yemen Arab Rep."/>
    <s v="Sí"/>
    <s v="Sí"/>
    <n v="0"/>
    <x v="101"/>
    <n v="50"/>
    <n v="50"/>
    <n v="80"/>
    <n v="80"/>
    <n v="140"/>
    <n v="0"/>
    <x v="0"/>
    <m/>
    <x v="0"/>
    <m/>
    <m/>
    <m/>
    <m/>
    <m/>
    <m/>
    <m/>
    <m/>
    <m/>
    <m/>
    <m/>
    <m/>
    <m/>
    <m/>
    <m/>
    <m/>
    <m/>
  </r>
  <r>
    <n v="123"/>
    <x v="10"/>
    <s v="Nas 1TB sin alojamiento"/>
    <s v="service"/>
    <m/>
    <s v="Incluye equipo, alta, configuracion y soporte. Equipo alojado en instalaciones cliente"/>
    <s v="Sí"/>
    <s v="Sí"/>
    <n v="0"/>
    <x v="72"/>
    <n v="50"/>
    <n v="50"/>
    <n v="80"/>
    <n v="80"/>
    <n v="80"/>
    <n v="0"/>
    <x v="0"/>
    <m/>
    <x v="0"/>
    <m/>
    <m/>
    <m/>
    <m/>
    <m/>
    <m/>
    <m/>
    <m/>
    <m/>
    <m/>
    <m/>
    <m/>
    <m/>
    <m/>
    <m/>
    <m/>
    <m/>
  </r>
  <r>
    <n v="124"/>
    <x v="10"/>
    <s v="Nas 1TB con alojamiento"/>
    <s v="service"/>
    <m/>
    <s v="Incluye equipo, alta, configuracion y soporte. Equipo alojado en CPD AUSARTA"/>
    <s v="Sí"/>
    <s v="Sí"/>
    <n v="0"/>
    <x v="94"/>
    <n v="90"/>
    <n v="90"/>
    <n v="150"/>
    <n v="150"/>
    <n v="150"/>
    <n v="0"/>
    <x v="0"/>
    <m/>
    <x v="0"/>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58DEF0-24DB-4312-BB87-1BC4869F16A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1" firstHeaderRow="1" firstDataRow="1" firstDataCol="1" rowPageCount="1" colPageCount="1"/>
  <pivotFields count="37">
    <pivotField showAll="0"/>
    <pivotField axis="axisPage" showAll="0">
      <items count="12">
        <item x="9"/>
        <item x="5"/>
        <item x="0"/>
        <item x="8"/>
        <item x="3"/>
        <item x="1"/>
        <item x="2"/>
        <item x="7"/>
        <item x="10"/>
        <item x="4"/>
        <item x="6"/>
        <item t="default" sd="0"/>
      </items>
    </pivotField>
    <pivotField showAll="0"/>
    <pivotField showAll="0"/>
    <pivotField showAll="0"/>
    <pivotField showAll="0"/>
    <pivotField showAll="0"/>
    <pivotField showAll="0"/>
    <pivotField showAll="0"/>
    <pivotField showAll="0">
      <items count="103">
        <item sd="0" x="32"/>
        <item sd="0" x="14"/>
        <item x="91"/>
        <item x="56"/>
        <item x="92"/>
        <item x="61"/>
        <item x="79"/>
        <item x="68"/>
        <item x="77"/>
        <item x="58"/>
        <item sd="0" x="45"/>
        <item sd="0" x="37"/>
        <item x="98"/>
        <item sd="0" x="33"/>
        <item sd="0" x="41"/>
        <item sd="0" x="52"/>
        <item sd="0" x="13"/>
        <item sd="0" x="46"/>
        <item sd="0" x="47"/>
        <item sd="0" x="48"/>
        <item sd="0" x="15"/>
        <item sd="0" x="20"/>
        <item sd="0" x="40"/>
        <item sd="0" x="51"/>
        <item sd="0" x="16"/>
        <item x="53"/>
        <item sd="0" x="27"/>
        <item sd="0" x="18"/>
        <item x="93"/>
        <item sd="0" x="7"/>
        <item sd="0" x="19"/>
        <item sd="0" x="28"/>
        <item sd="0" x="8"/>
        <item sd="0" x="24"/>
        <item sd="0" x="21"/>
        <item x="64"/>
        <item x="62"/>
        <item sd="0" x="36"/>
        <item sd="0" x="39"/>
        <item sd="0" x="50"/>
        <item sd="0" x="49"/>
        <item sd="0" x="9"/>
        <item sd="0" x="38"/>
        <item sd="0" x="17"/>
        <item sd="0" x="10"/>
        <item sd="0" x="25"/>
        <item sd="0" x="22"/>
        <item sd="0" x="35"/>
        <item x="67"/>
        <item x="99"/>
        <item sd="0" x="44"/>
        <item sd="0" x="11"/>
        <item sd="0" x="12"/>
        <item sd="0" x="26"/>
        <item x="57"/>
        <item x="54"/>
        <item sd="0" x="30"/>
        <item sd="0" x="29"/>
        <item sd="0" x="34"/>
        <item sd="0" x="23"/>
        <item x="89"/>
        <item x="63"/>
        <item x="55"/>
        <item x="78"/>
        <item x="69"/>
        <item x="59"/>
        <item sd="0" x="42"/>
        <item x="3"/>
        <item sd="0" x="31"/>
        <item x="96"/>
        <item x="2"/>
        <item x="88"/>
        <item x="66"/>
        <item x="6"/>
        <item x="5"/>
        <item x="70"/>
        <item x="1"/>
        <item x="97"/>
        <item sd="0" x="43"/>
        <item x="86"/>
        <item x="80"/>
        <item x="65"/>
        <item x="71"/>
        <item x="90"/>
        <item x="0"/>
        <item x="81"/>
        <item x="72"/>
        <item x="87"/>
        <item x="95"/>
        <item x="4"/>
        <item x="73"/>
        <item x="101"/>
        <item x="60"/>
        <item x="94"/>
        <item x="100"/>
        <item x="74"/>
        <item x="82"/>
        <item x="83"/>
        <item x="85"/>
        <item x="76"/>
        <item x="84"/>
        <item x="75"/>
        <item t="default"/>
      </items>
    </pivotField>
    <pivotField showAll="0"/>
    <pivotField showAll="0"/>
    <pivotField showAll="0"/>
    <pivotField showAll="0"/>
    <pivotField showAll="0"/>
    <pivotField dataField="1" showAll="0"/>
    <pivotField axis="axisRow" showAll="0">
      <items count="15">
        <item x="7"/>
        <item x="2"/>
        <item x="5"/>
        <item x="1"/>
        <item x="8"/>
        <item x="3"/>
        <item x="10"/>
        <item x="4"/>
        <item x="12"/>
        <item x="9"/>
        <item x="13"/>
        <item x="11"/>
        <item x="6"/>
        <item x="0"/>
        <item t="default"/>
      </items>
    </pivotField>
    <pivotField showAll="0"/>
    <pivotField axis="axisRow" showAll="0">
      <items count="12">
        <item x="5"/>
        <item x="1"/>
        <item x="3"/>
        <item x="10"/>
        <item x="8"/>
        <item x="2"/>
        <item x="9"/>
        <item x="6"/>
        <item x="4"/>
        <item x="7"/>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2">
    <field x="16"/>
    <field x="18"/>
  </rowFields>
  <rowItems count="18">
    <i>
      <x/>
    </i>
    <i r="1">
      <x v="1"/>
    </i>
    <i>
      <x v="1"/>
    </i>
    <i r="1">
      <x/>
    </i>
    <i r="1">
      <x v="10"/>
    </i>
    <i>
      <x v="2"/>
    </i>
    <i r="1">
      <x v="10"/>
    </i>
    <i>
      <x v="3"/>
    </i>
    <i r="1">
      <x v="8"/>
    </i>
    <i>
      <x v="5"/>
    </i>
    <i r="1">
      <x v="10"/>
    </i>
    <i>
      <x v="7"/>
    </i>
    <i r="1">
      <x v="10"/>
    </i>
    <i>
      <x v="12"/>
    </i>
    <i r="1">
      <x v="10"/>
    </i>
    <i>
      <x v="13"/>
    </i>
    <i r="1">
      <x v="10"/>
    </i>
    <i t="grand">
      <x/>
    </i>
  </rowItems>
  <colItems count="1">
    <i/>
  </colItems>
  <pageFields count="1">
    <pageField fld="1" item="5" hier="-1"/>
  </pageFields>
  <dataFields count="1">
    <dataField name="Suma de Uds totales activa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38BF-B77D-48E5-BD14-ACF20BF7E376}">
  <dimension ref="A1:B21"/>
  <sheetViews>
    <sheetView workbookViewId="0">
      <selection activeCell="D30" sqref="D30"/>
    </sheetView>
  </sheetViews>
  <sheetFormatPr baseColWidth="10" defaultColWidth="11.42578125" defaultRowHeight="15" x14ac:dyDescent="0.25"/>
  <cols>
    <col min="1" max="1" width="17.42578125" bestFit="1" customWidth="1"/>
    <col min="2" max="2" width="24.42578125" bestFit="1" customWidth="1"/>
    <col min="3" max="3" width="10.5703125" bestFit="1" customWidth="1"/>
    <col min="4" max="4" width="15.28515625" bestFit="1" customWidth="1"/>
    <col min="5" max="5" width="13.140625" bestFit="1" customWidth="1"/>
    <col min="6" max="6" width="9.85546875" bestFit="1" customWidth="1"/>
    <col min="7" max="7" width="13.7109375" bestFit="1" customWidth="1"/>
    <col min="8" max="8" width="15.7109375" bestFit="1" customWidth="1"/>
    <col min="9" max="9" width="11.7109375" bestFit="1" customWidth="1"/>
    <col min="10" max="10" width="8.28515625" bestFit="1" customWidth="1"/>
    <col min="11" max="11" width="7.140625" bestFit="1" customWidth="1"/>
    <col min="12" max="12" width="10.28515625" bestFit="1" customWidth="1"/>
    <col min="13" max="13" width="11.5703125" bestFit="1" customWidth="1"/>
    <col min="14" max="14" width="9.85546875" bestFit="1" customWidth="1"/>
    <col min="15" max="15" width="11.7109375" bestFit="1" customWidth="1"/>
    <col min="16" max="16" width="8.28515625" bestFit="1" customWidth="1"/>
    <col min="17" max="17" width="7.140625" bestFit="1" customWidth="1"/>
    <col min="18" max="18" width="10.28515625" bestFit="1" customWidth="1"/>
    <col min="19" max="19" width="20.28515625" bestFit="1" customWidth="1"/>
    <col min="20" max="20" width="13.42578125" bestFit="1" customWidth="1"/>
    <col min="21" max="21" width="10.28515625" bestFit="1" customWidth="1"/>
    <col min="22" max="22" width="16.28515625" bestFit="1" customWidth="1"/>
    <col min="24" max="24" width="14.28515625" bestFit="1" customWidth="1"/>
    <col min="25" max="25" width="11.7109375" bestFit="1" customWidth="1"/>
    <col min="26" max="26" width="10.85546875" bestFit="1" customWidth="1"/>
    <col min="27" max="27" width="10.28515625" bestFit="1" customWidth="1"/>
    <col min="28" max="28" width="13" bestFit="1" customWidth="1"/>
    <col min="29" max="29" width="15.7109375" bestFit="1" customWidth="1"/>
    <col min="30" max="30" width="10.28515625" bestFit="1" customWidth="1"/>
    <col min="31" max="31" width="12.7109375" bestFit="1" customWidth="1"/>
    <col min="32" max="32" width="11.7109375" bestFit="1" customWidth="1"/>
    <col min="33" max="33" width="14.28515625" bestFit="1" customWidth="1"/>
    <col min="34" max="34" width="9.7109375" bestFit="1" customWidth="1"/>
    <col min="35" max="35" width="10.28515625" bestFit="1" customWidth="1"/>
    <col min="36" max="36" width="12.5703125" bestFit="1" customWidth="1"/>
    <col min="37" max="37" width="13.140625" bestFit="1" customWidth="1"/>
    <col min="38" max="38" width="15.7109375" bestFit="1" customWidth="1"/>
    <col min="39" max="39" width="10.28515625" bestFit="1" customWidth="1"/>
    <col min="41" max="41" width="10.28515625" bestFit="1" customWidth="1"/>
    <col min="42" max="42" width="13" bestFit="1" customWidth="1"/>
    <col min="43" max="43" width="12" bestFit="1" customWidth="1"/>
    <col min="44" max="44" width="14.7109375" bestFit="1" customWidth="1"/>
  </cols>
  <sheetData>
    <row r="1" spans="1:2" x14ac:dyDescent="0.25">
      <c r="A1" s="2" t="s">
        <v>0</v>
      </c>
      <c r="B1" t="s">
        <v>1</v>
      </c>
    </row>
    <row r="3" spans="1:2" x14ac:dyDescent="0.25">
      <c r="A3" s="2" t="s">
        <v>2</v>
      </c>
      <c r="B3" t="s">
        <v>3</v>
      </c>
    </row>
    <row r="4" spans="1:2" x14ac:dyDescent="0.25">
      <c r="A4" s="3" t="s">
        <v>4</v>
      </c>
      <c r="B4">
        <v>6387</v>
      </c>
    </row>
    <row r="5" spans="1:2" x14ac:dyDescent="0.25">
      <c r="A5" s="5" t="s">
        <v>5</v>
      </c>
      <c r="B5">
        <v>6387</v>
      </c>
    </row>
    <row r="6" spans="1:2" x14ac:dyDescent="0.25">
      <c r="A6" s="3" t="s">
        <v>5</v>
      </c>
      <c r="B6">
        <v>4549</v>
      </c>
    </row>
    <row r="7" spans="1:2" x14ac:dyDescent="0.25">
      <c r="A7" s="5" t="s">
        <v>4</v>
      </c>
      <c r="B7">
        <v>4516</v>
      </c>
    </row>
    <row r="8" spans="1:2" x14ac:dyDescent="0.25">
      <c r="A8" s="5" t="s">
        <v>6</v>
      </c>
      <c r="B8">
        <v>33</v>
      </c>
    </row>
    <row r="9" spans="1:2" x14ac:dyDescent="0.25">
      <c r="A9" s="3" t="s">
        <v>7</v>
      </c>
      <c r="B9">
        <v>10</v>
      </c>
    </row>
    <row r="10" spans="1:2" x14ac:dyDescent="0.25">
      <c r="A10" s="5" t="s">
        <v>6</v>
      </c>
      <c r="B10">
        <v>10</v>
      </c>
    </row>
    <row r="11" spans="1:2" x14ac:dyDescent="0.25">
      <c r="A11" s="3" t="s">
        <v>8</v>
      </c>
      <c r="B11">
        <v>344</v>
      </c>
    </row>
    <row r="12" spans="1:2" x14ac:dyDescent="0.25">
      <c r="A12" s="5" t="s">
        <v>9</v>
      </c>
      <c r="B12">
        <v>344</v>
      </c>
    </row>
    <row r="13" spans="1:2" x14ac:dyDescent="0.25">
      <c r="A13" s="3" t="s">
        <v>10</v>
      </c>
      <c r="B13">
        <v>19</v>
      </c>
    </row>
    <row r="14" spans="1:2" x14ac:dyDescent="0.25">
      <c r="A14" s="5" t="s">
        <v>6</v>
      </c>
      <c r="B14">
        <v>19</v>
      </c>
    </row>
    <row r="15" spans="1:2" x14ac:dyDescent="0.25">
      <c r="A15" s="3" t="s">
        <v>11</v>
      </c>
      <c r="B15">
        <v>531</v>
      </c>
    </row>
    <row r="16" spans="1:2" x14ac:dyDescent="0.25">
      <c r="A16" s="5" t="s">
        <v>6</v>
      </c>
      <c r="B16">
        <v>531</v>
      </c>
    </row>
    <row r="17" spans="1:2" x14ac:dyDescent="0.25">
      <c r="A17" s="3" t="s">
        <v>12</v>
      </c>
      <c r="B17">
        <v>6</v>
      </c>
    </row>
    <row r="18" spans="1:2" x14ac:dyDescent="0.25">
      <c r="A18" s="5" t="s">
        <v>6</v>
      </c>
      <c r="B18">
        <v>6</v>
      </c>
    </row>
    <row r="19" spans="1:2" x14ac:dyDescent="0.25">
      <c r="A19" s="3" t="s">
        <v>6</v>
      </c>
      <c r="B19">
        <v>0</v>
      </c>
    </row>
    <row r="20" spans="1:2" x14ac:dyDescent="0.25">
      <c r="A20" s="5" t="s">
        <v>6</v>
      </c>
      <c r="B20">
        <v>0</v>
      </c>
    </row>
    <row r="21" spans="1:2" x14ac:dyDescent="0.25">
      <c r="A21" s="3" t="s">
        <v>13</v>
      </c>
      <c r="B21">
        <v>11846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CB94-A561-4B31-94B9-D0B4FE32119A}">
  <dimension ref="A1:I147"/>
  <sheetViews>
    <sheetView zoomScaleNormal="100" workbookViewId="0">
      <selection activeCell="G10" sqref="G10"/>
    </sheetView>
  </sheetViews>
  <sheetFormatPr baseColWidth="10" defaultColWidth="11.42578125" defaultRowHeight="15" x14ac:dyDescent="0.25"/>
  <cols>
    <col min="1" max="1" width="13.5703125" bestFit="1" customWidth="1"/>
    <col min="2" max="3" width="12.42578125" bestFit="1" customWidth="1"/>
    <col min="6" max="6" width="17.5703125" customWidth="1"/>
    <col min="7" max="7" width="11.7109375" bestFit="1" customWidth="1"/>
    <col min="8" max="8" width="12.7109375" bestFit="1" customWidth="1"/>
  </cols>
  <sheetData>
    <row r="1" spans="1:9" x14ac:dyDescent="0.25">
      <c r="A1" t="s">
        <v>2</v>
      </c>
      <c r="B1" t="s">
        <v>3</v>
      </c>
      <c r="C1" t="s">
        <v>14</v>
      </c>
      <c r="F1" t="s">
        <v>2</v>
      </c>
      <c r="G1" t="s">
        <v>3</v>
      </c>
      <c r="I1" t="s">
        <v>15</v>
      </c>
    </row>
    <row r="2" spans="1:9" x14ac:dyDescent="0.25">
      <c r="A2" t="s">
        <v>1</v>
      </c>
      <c r="B2" s="7">
        <v>11846</v>
      </c>
      <c r="C2" s="7">
        <f>SUM(C3:C48)</f>
        <v>82957.349999999991</v>
      </c>
      <c r="D2">
        <f>SUM(D3:D48)</f>
        <v>52793.18</v>
      </c>
      <c r="F2" t="s">
        <v>1</v>
      </c>
      <c r="G2" s="7">
        <v>11846</v>
      </c>
      <c r="H2">
        <v>52793.18</v>
      </c>
      <c r="I2" s="4">
        <f>H2/G2</f>
        <v>4.4566250211041698</v>
      </c>
    </row>
    <row r="3" spans="1:9" x14ac:dyDescent="0.25">
      <c r="A3">
        <v>0</v>
      </c>
      <c r="B3">
        <v>7</v>
      </c>
      <c r="C3">
        <v>0</v>
      </c>
      <c r="D3">
        <f>A3*B3</f>
        <v>0</v>
      </c>
      <c r="F3" t="s">
        <v>16</v>
      </c>
      <c r="G3">
        <v>1747</v>
      </c>
      <c r="H3">
        <v>33440</v>
      </c>
      <c r="I3" s="4">
        <f t="shared" ref="I3:I13" si="0">H3/G3</f>
        <v>19.141385231825989</v>
      </c>
    </row>
    <row r="4" spans="1:9" x14ac:dyDescent="0.25">
      <c r="A4">
        <v>0.3</v>
      </c>
      <c r="B4">
        <v>0</v>
      </c>
      <c r="C4">
        <v>0</v>
      </c>
      <c r="D4">
        <f t="shared" ref="D4:D67" si="1">A4*B4</f>
        <v>0</v>
      </c>
      <c r="F4" t="s">
        <v>17</v>
      </c>
      <c r="G4">
        <v>1264</v>
      </c>
      <c r="H4">
        <v>5814.35</v>
      </c>
      <c r="I4" s="4">
        <f t="shared" si="0"/>
        <v>4.5999604430379746</v>
      </c>
    </row>
    <row r="5" spans="1:9" x14ac:dyDescent="0.25">
      <c r="A5">
        <v>3.94</v>
      </c>
      <c r="B5">
        <v>6387</v>
      </c>
      <c r="C5">
        <v>50329.56</v>
      </c>
      <c r="D5">
        <f t="shared" si="1"/>
        <v>25164.78</v>
      </c>
      <c r="F5" t="s">
        <v>18</v>
      </c>
      <c r="G5">
        <v>899</v>
      </c>
      <c r="H5">
        <v>8964.0300000000007</v>
      </c>
      <c r="I5" s="4">
        <f t="shared" si="0"/>
        <v>9.9711123470522818</v>
      </c>
    </row>
    <row r="6" spans="1:9" x14ac:dyDescent="0.25">
      <c r="A6">
        <v>3.99</v>
      </c>
      <c r="B6">
        <v>490</v>
      </c>
      <c r="C6">
        <v>5865.3</v>
      </c>
      <c r="D6">
        <f t="shared" si="1"/>
        <v>1955.1000000000001</v>
      </c>
      <c r="F6" t="s">
        <v>19</v>
      </c>
      <c r="G6">
        <v>2023</v>
      </c>
      <c r="H6">
        <v>43415.92</v>
      </c>
      <c r="I6" s="4">
        <f t="shared" si="0"/>
        <v>21.461156697973305</v>
      </c>
    </row>
    <row r="7" spans="1:9" x14ac:dyDescent="0.25">
      <c r="A7">
        <v>4.18</v>
      </c>
      <c r="B7">
        <v>0</v>
      </c>
      <c r="C7">
        <v>0</v>
      </c>
      <c r="D7">
        <f t="shared" si="1"/>
        <v>0</v>
      </c>
      <c r="F7" t="s">
        <v>20</v>
      </c>
      <c r="G7">
        <v>61</v>
      </c>
      <c r="H7">
        <v>1542</v>
      </c>
      <c r="I7" s="4">
        <f t="shared" si="0"/>
        <v>25.278688524590162</v>
      </c>
    </row>
    <row r="8" spans="1:9" x14ac:dyDescent="0.25">
      <c r="A8">
        <v>4.37</v>
      </c>
      <c r="B8">
        <v>4081</v>
      </c>
      <c r="C8">
        <v>17833.97</v>
      </c>
      <c r="D8">
        <f t="shared" si="1"/>
        <v>17833.97</v>
      </c>
      <c r="F8" t="s">
        <v>21</v>
      </c>
      <c r="G8">
        <v>219</v>
      </c>
      <c r="H8">
        <v>1375.26</v>
      </c>
      <c r="I8" s="4">
        <f t="shared" si="0"/>
        <v>6.2797260273972606</v>
      </c>
    </row>
    <row r="9" spans="1:9" x14ac:dyDescent="0.25">
      <c r="A9">
        <v>4.3899999999999997</v>
      </c>
      <c r="B9">
        <v>53</v>
      </c>
      <c r="C9">
        <v>232.67</v>
      </c>
      <c r="D9">
        <f t="shared" si="1"/>
        <v>232.67</v>
      </c>
      <c r="F9" t="s">
        <v>22</v>
      </c>
      <c r="G9">
        <v>120</v>
      </c>
      <c r="H9">
        <v>150</v>
      </c>
      <c r="I9" s="4">
        <f t="shared" si="0"/>
        <v>1.25</v>
      </c>
    </row>
    <row r="10" spans="1:9" x14ac:dyDescent="0.25">
      <c r="A10">
        <v>4.5999999999999996</v>
      </c>
      <c r="B10">
        <v>2</v>
      </c>
      <c r="C10">
        <v>36.799999999999997</v>
      </c>
      <c r="D10">
        <f t="shared" si="1"/>
        <v>9.1999999999999993</v>
      </c>
      <c r="F10" t="s">
        <v>23</v>
      </c>
      <c r="G10">
        <v>22</v>
      </c>
      <c r="H10">
        <v>1800</v>
      </c>
      <c r="I10" s="4">
        <f t="shared" si="0"/>
        <v>81.818181818181813</v>
      </c>
    </row>
    <row r="11" spans="1:9" x14ac:dyDescent="0.25">
      <c r="A11">
        <v>4.6399999999999997</v>
      </c>
      <c r="B11">
        <v>0</v>
      </c>
      <c r="C11">
        <v>0</v>
      </c>
      <c r="D11">
        <f t="shared" si="1"/>
        <v>0</v>
      </c>
      <c r="F11" t="s">
        <v>24</v>
      </c>
      <c r="G11">
        <v>301</v>
      </c>
      <c r="H11">
        <v>1082.5</v>
      </c>
      <c r="I11" s="4">
        <f t="shared" si="0"/>
        <v>3.596345514950166</v>
      </c>
    </row>
    <row r="12" spans="1:9" x14ac:dyDescent="0.25">
      <c r="A12">
        <v>4.6900000000000004</v>
      </c>
      <c r="B12">
        <v>191</v>
      </c>
      <c r="C12">
        <v>895.79000000000008</v>
      </c>
      <c r="D12">
        <f t="shared" si="1"/>
        <v>895.79000000000008</v>
      </c>
      <c r="F12" t="s">
        <v>25</v>
      </c>
      <c r="G12">
        <v>0</v>
      </c>
      <c r="H12">
        <v>0</v>
      </c>
      <c r="I12" s="4" t="e">
        <f t="shared" si="0"/>
        <v>#DIV/0!</v>
      </c>
    </row>
    <row r="13" spans="1:9" x14ac:dyDescent="0.25">
      <c r="A13">
        <v>4.82</v>
      </c>
      <c r="B13">
        <v>91</v>
      </c>
      <c r="C13">
        <v>438.62</v>
      </c>
      <c r="D13">
        <f t="shared" si="1"/>
        <v>438.62</v>
      </c>
      <c r="F13" s="6" t="s">
        <v>13</v>
      </c>
      <c r="G13" s="6">
        <v>18502</v>
      </c>
      <c r="H13" s="6">
        <v>150377.24</v>
      </c>
      <c r="I13" s="4">
        <f t="shared" si="0"/>
        <v>8.1276207977515931</v>
      </c>
    </row>
    <row r="14" spans="1:9" x14ac:dyDescent="0.25">
      <c r="A14">
        <v>5</v>
      </c>
      <c r="B14">
        <v>6</v>
      </c>
      <c r="C14">
        <v>30</v>
      </c>
      <c r="D14">
        <f t="shared" si="1"/>
        <v>30</v>
      </c>
    </row>
    <row r="15" spans="1:9" x14ac:dyDescent="0.25">
      <c r="A15">
        <v>5.18</v>
      </c>
      <c r="B15">
        <v>0</v>
      </c>
      <c r="C15">
        <v>0</v>
      </c>
      <c r="D15">
        <f t="shared" si="1"/>
        <v>0</v>
      </c>
    </row>
    <row r="16" spans="1:9" x14ac:dyDescent="0.25">
      <c r="A16">
        <v>5.26</v>
      </c>
      <c r="B16">
        <v>1</v>
      </c>
      <c r="C16">
        <v>10.52</v>
      </c>
      <c r="D16">
        <f t="shared" si="1"/>
        <v>5.26</v>
      </c>
    </row>
    <row r="17" spans="1:4" x14ac:dyDescent="0.25">
      <c r="A17">
        <v>5.27</v>
      </c>
      <c r="B17">
        <v>35</v>
      </c>
      <c r="C17">
        <v>368.9</v>
      </c>
      <c r="D17">
        <f t="shared" si="1"/>
        <v>184.45</v>
      </c>
    </row>
    <row r="18" spans="1:4" x14ac:dyDescent="0.25">
      <c r="A18">
        <v>5.6</v>
      </c>
      <c r="B18">
        <v>0</v>
      </c>
      <c r="C18">
        <v>0</v>
      </c>
      <c r="D18">
        <f t="shared" si="1"/>
        <v>0</v>
      </c>
    </row>
    <row r="19" spans="1:4" x14ac:dyDescent="0.25">
      <c r="A19">
        <v>5.75</v>
      </c>
      <c r="B19">
        <v>0</v>
      </c>
      <c r="C19">
        <v>0</v>
      </c>
      <c r="D19">
        <f t="shared" si="1"/>
        <v>0</v>
      </c>
    </row>
    <row r="20" spans="1:4" x14ac:dyDescent="0.25">
      <c r="A20">
        <v>5.76</v>
      </c>
      <c r="B20">
        <v>10</v>
      </c>
      <c r="C20">
        <v>172.8</v>
      </c>
      <c r="D20">
        <f t="shared" si="1"/>
        <v>57.599999999999994</v>
      </c>
    </row>
    <row r="21" spans="1:4" x14ac:dyDescent="0.25">
      <c r="A21">
        <v>6.21</v>
      </c>
      <c r="B21">
        <v>0</v>
      </c>
      <c r="C21">
        <v>0</v>
      </c>
      <c r="D21">
        <f t="shared" si="1"/>
        <v>0</v>
      </c>
    </row>
    <row r="22" spans="1:4" x14ac:dyDescent="0.25">
      <c r="A22">
        <v>6.33</v>
      </c>
      <c r="B22">
        <v>0</v>
      </c>
      <c r="C22">
        <v>0</v>
      </c>
      <c r="D22">
        <f t="shared" si="1"/>
        <v>0</v>
      </c>
    </row>
    <row r="23" spans="1:4" x14ac:dyDescent="0.25">
      <c r="A23">
        <v>6.34</v>
      </c>
      <c r="B23">
        <v>0</v>
      </c>
      <c r="C23">
        <v>0</v>
      </c>
      <c r="D23">
        <f t="shared" si="1"/>
        <v>0</v>
      </c>
    </row>
    <row r="24" spans="1:4" x14ac:dyDescent="0.25">
      <c r="A24">
        <v>6.74</v>
      </c>
      <c r="B24">
        <v>0</v>
      </c>
      <c r="C24">
        <v>0</v>
      </c>
      <c r="D24">
        <f t="shared" si="1"/>
        <v>0</v>
      </c>
    </row>
    <row r="25" spans="1:4" x14ac:dyDescent="0.25">
      <c r="A25">
        <v>6.79</v>
      </c>
      <c r="B25">
        <v>0</v>
      </c>
      <c r="C25">
        <v>0</v>
      </c>
      <c r="D25">
        <f t="shared" si="1"/>
        <v>0</v>
      </c>
    </row>
    <row r="26" spans="1:4" x14ac:dyDescent="0.25">
      <c r="A26">
        <v>7.36</v>
      </c>
      <c r="B26">
        <v>1</v>
      </c>
      <c r="C26">
        <v>7.36</v>
      </c>
      <c r="D26">
        <f t="shared" si="1"/>
        <v>7.36</v>
      </c>
    </row>
    <row r="27" spans="1:4" x14ac:dyDescent="0.25">
      <c r="A27">
        <v>8</v>
      </c>
      <c r="B27">
        <v>0</v>
      </c>
      <c r="C27">
        <v>0</v>
      </c>
      <c r="D27">
        <f t="shared" si="1"/>
        <v>0</v>
      </c>
    </row>
    <row r="28" spans="1:4" x14ac:dyDescent="0.25">
      <c r="A28">
        <v>8.0399999999999991</v>
      </c>
      <c r="B28">
        <v>16</v>
      </c>
      <c r="C28">
        <v>128.63999999999999</v>
      </c>
      <c r="D28">
        <f t="shared" si="1"/>
        <v>128.63999999999999</v>
      </c>
    </row>
    <row r="29" spans="1:4" x14ac:dyDescent="0.25">
      <c r="A29">
        <v>8.18</v>
      </c>
      <c r="B29">
        <v>9</v>
      </c>
      <c r="C29">
        <v>147.24</v>
      </c>
      <c r="D29">
        <f t="shared" si="1"/>
        <v>73.62</v>
      </c>
    </row>
    <row r="30" spans="1:4" x14ac:dyDescent="0.25">
      <c r="A30">
        <v>8.25</v>
      </c>
      <c r="B30">
        <v>13</v>
      </c>
      <c r="C30">
        <v>107.25</v>
      </c>
      <c r="D30">
        <f t="shared" si="1"/>
        <v>107.25</v>
      </c>
    </row>
    <row r="31" spans="1:4" x14ac:dyDescent="0.25">
      <c r="A31">
        <v>8.33</v>
      </c>
      <c r="B31">
        <v>41</v>
      </c>
      <c r="C31">
        <v>1024.5900000000001</v>
      </c>
      <c r="D31">
        <f t="shared" si="1"/>
        <v>341.53000000000003</v>
      </c>
    </row>
    <row r="32" spans="1:4" x14ac:dyDescent="0.25">
      <c r="A32">
        <v>8.6199999999999992</v>
      </c>
      <c r="B32">
        <v>17</v>
      </c>
      <c r="C32">
        <v>146.54</v>
      </c>
      <c r="D32">
        <f t="shared" si="1"/>
        <v>146.54</v>
      </c>
    </row>
    <row r="33" spans="1:4" x14ac:dyDescent="0.25">
      <c r="A33">
        <v>8.6999999999999993</v>
      </c>
      <c r="B33">
        <v>1</v>
      </c>
      <c r="C33">
        <v>8.6999999999999993</v>
      </c>
      <c r="D33">
        <f t="shared" si="1"/>
        <v>8.6999999999999993</v>
      </c>
    </row>
    <row r="34" spans="1:4" x14ac:dyDescent="0.25">
      <c r="A34">
        <v>8.86</v>
      </c>
      <c r="B34">
        <v>0</v>
      </c>
      <c r="C34">
        <v>0</v>
      </c>
      <c r="D34">
        <f t="shared" si="1"/>
        <v>0</v>
      </c>
    </row>
    <row r="35" spans="1:4" x14ac:dyDescent="0.25">
      <c r="A35">
        <v>8.91</v>
      </c>
      <c r="B35">
        <v>0</v>
      </c>
      <c r="C35">
        <v>0</v>
      </c>
      <c r="D35">
        <f t="shared" si="1"/>
        <v>0</v>
      </c>
    </row>
    <row r="36" spans="1:4" x14ac:dyDescent="0.25">
      <c r="A36">
        <v>9.01</v>
      </c>
      <c r="B36">
        <v>0</v>
      </c>
      <c r="C36">
        <v>0</v>
      </c>
      <c r="D36">
        <f t="shared" si="1"/>
        <v>0</v>
      </c>
    </row>
    <row r="37" spans="1:4" x14ac:dyDescent="0.25">
      <c r="A37">
        <v>9.49</v>
      </c>
      <c r="B37">
        <v>0</v>
      </c>
      <c r="C37">
        <v>0</v>
      </c>
      <c r="D37">
        <f t="shared" si="1"/>
        <v>0</v>
      </c>
    </row>
    <row r="38" spans="1:4" x14ac:dyDescent="0.25">
      <c r="A38">
        <v>10</v>
      </c>
      <c r="B38">
        <v>2</v>
      </c>
      <c r="C38">
        <v>20</v>
      </c>
      <c r="D38">
        <f t="shared" si="1"/>
        <v>20</v>
      </c>
    </row>
    <row r="39" spans="1:4" x14ac:dyDescent="0.25">
      <c r="A39">
        <v>10.44</v>
      </c>
      <c r="B39">
        <v>0</v>
      </c>
      <c r="C39">
        <v>0</v>
      </c>
      <c r="D39">
        <f t="shared" si="1"/>
        <v>0</v>
      </c>
    </row>
    <row r="40" spans="1:4" x14ac:dyDescent="0.25">
      <c r="A40">
        <v>10.98</v>
      </c>
      <c r="B40">
        <v>0</v>
      </c>
      <c r="C40">
        <v>0</v>
      </c>
      <c r="D40">
        <f t="shared" si="1"/>
        <v>0</v>
      </c>
    </row>
    <row r="41" spans="1:4" x14ac:dyDescent="0.25">
      <c r="A41">
        <v>11.03</v>
      </c>
      <c r="B41">
        <v>0</v>
      </c>
      <c r="C41">
        <v>0</v>
      </c>
      <c r="D41">
        <f t="shared" si="1"/>
        <v>0</v>
      </c>
    </row>
    <row r="42" spans="1:4" x14ac:dyDescent="0.25">
      <c r="A42">
        <v>11.7</v>
      </c>
      <c r="B42">
        <v>0</v>
      </c>
      <c r="C42">
        <v>0</v>
      </c>
      <c r="D42">
        <f t="shared" si="1"/>
        <v>0</v>
      </c>
    </row>
    <row r="43" spans="1:4" x14ac:dyDescent="0.25">
      <c r="A43">
        <v>12</v>
      </c>
      <c r="B43">
        <v>344</v>
      </c>
      <c r="C43">
        <v>4128</v>
      </c>
      <c r="D43">
        <f t="shared" si="1"/>
        <v>4128</v>
      </c>
    </row>
    <row r="44" spans="1:4" x14ac:dyDescent="0.25">
      <c r="A44">
        <v>12.18</v>
      </c>
      <c r="B44">
        <v>0</v>
      </c>
      <c r="C44">
        <v>0</v>
      </c>
      <c r="D44">
        <f t="shared" si="1"/>
        <v>0</v>
      </c>
    </row>
    <row r="45" spans="1:4" x14ac:dyDescent="0.25">
      <c r="A45">
        <v>13.4</v>
      </c>
      <c r="B45">
        <v>7</v>
      </c>
      <c r="C45">
        <v>93.8</v>
      </c>
      <c r="D45">
        <f t="shared" si="1"/>
        <v>93.8</v>
      </c>
    </row>
    <row r="46" spans="1:4" x14ac:dyDescent="0.25">
      <c r="A46">
        <v>18.899999999999999</v>
      </c>
      <c r="B46">
        <v>27</v>
      </c>
      <c r="C46">
        <v>510.29999999999995</v>
      </c>
      <c r="D46">
        <f t="shared" si="1"/>
        <v>510.29999999999995</v>
      </c>
    </row>
    <row r="47" spans="1:4" x14ac:dyDescent="0.25">
      <c r="A47">
        <v>19.899999999999999</v>
      </c>
      <c r="B47">
        <v>0</v>
      </c>
      <c r="C47">
        <v>0</v>
      </c>
      <c r="D47">
        <f t="shared" si="1"/>
        <v>0</v>
      </c>
    </row>
    <row r="48" spans="1:4" x14ac:dyDescent="0.25">
      <c r="A48">
        <v>30</v>
      </c>
      <c r="B48">
        <v>14</v>
      </c>
      <c r="C48">
        <v>420</v>
      </c>
      <c r="D48">
        <f t="shared" si="1"/>
        <v>420</v>
      </c>
    </row>
    <row r="49" spans="1:4" x14ac:dyDescent="0.25">
      <c r="A49" t="s">
        <v>16</v>
      </c>
      <c r="B49">
        <v>1747</v>
      </c>
      <c r="C49">
        <f>SUM(C50:C59)</f>
        <v>162325</v>
      </c>
      <c r="D49">
        <f>SUM(D50:D59)</f>
        <v>33440</v>
      </c>
    </row>
    <row r="50" spans="1:4" x14ac:dyDescent="0.25">
      <c r="A50">
        <v>0</v>
      </c>
      <c r="B50">
        <v>1</v>
      </c>
      <c r="C50">
        <v>0</v>
      </c>
      <c r="D50">
        <f t="shared" si="1"/>
        <v>0</v>
      </c>
    </row>
    <row r="51" spans="1:4" x14ac:dyDescent="0.25">
      <c r="A51">
        <v>12</v>
      </c>
      <c r="B51">
        <v>64</v>
      </c>
      <c r="C51">
        <v>768</v>
      </c>
      <c r="D51">
        <f t="shared" si="1"/>
        <v>768</v>
      </c>
    </row>
    <row r="52" spans="1:4" x14ac:dyDescent="0.25">
      <c r="A52">
        <v>15</v>
      </c>
      <c r="B52">
        <v>1331</v>
      </c>
      <c r="C52">
        <v>99825</v>
      </c>
      <c r="D52">
        <f t="shared" si="1"/>
        <v>19965</v>
      </c>
    </row>
    <row r="53" spans="1:4" x14ac:dyDescent="0.25">
      <c r="A53">
        <v>19</v>
      </c>
      <c r="B53">
        <v>7</v>
      </c>
      <c r="C53">
        <v>266</v>
      </c>
      <c r="D53">
        <f t="shared" si="1"/>
        <v>133</v>
      </c>
    </row>
    <row r="54" spans="1:4" x14ac:dyDescent="0.25">
      <c r="A54">
        <v>23</v>
      </c>
      <c r="B54">
        <v>17</v>
      </c>
      <c r="C54">
        <v>782</v>
      </c>
      <c r="D54">
        <f t="shared" si="1"/>
        <v>391</v>
      </c>
    </row>
    <row r="55" spans="1:4" x14ac:dyDescent="0.25">
      <c r="A55">
        <v>32</v>
      </c>
      <c r="B55">
        <v>149</v>
      </c>
      <c r="C55">
        <v>28608</v>
      </c>
      <c r="D55">
        <f t="shared" si="1"/>
        <v>4768</v>
      </c>
    </row>
    <row r="56" spans="1:4" x14ac:dyDescent="0.25">
      <c r="A56">
        <v>39</v>
      </c>
      <c r="B56">
        <v>144</v>
      </c>
      <c r="C56">
        <v>28080</v>
      </c>
      <c r="D56">
        <f t="shared" si="1"/>
        <v>5616</v>
      </c>
    </row>
    <row r="57" spans="1:4" x14ac:dyDescent="0.25">
      <c r="A57">
        <v>50</v>
      </c>
      <c r="B57">
        <v>17</v>
      </c>
      <c r="C57">
        <v>850</v>
      </c>
      <c r="D57">
        <f t="shared" si="1"/>
        <v>850</v>
      </c>
    </row>
    <row r="58" spans="1:4" x14ac:dyDescent="0.25">
      <c r="A58">
        <v>52</v>
      </c>
      <c r="B58">
        <v>12</v>
      </c>
      <c r="C58">
        <v>2496</v>
      </c>
      <c r="D58">
        <f t="shared" si="1"/>
        <v>624</v>
      </c>
    </row>
    <row r="59" spans="1:4" x14ac:dyDescent="0.25">
      <c r="A59">
        <v>65</v>
      </c>
      <c r="B59">
        <v>5</v>
      </c>
      <c r="C59">
        <v>650</v>
      </c>
      <c r="D59">
        <f t="shared" si="1"/>
        <v>325</v>
      </c>
    </row>
    <row r="60" spans="1:4" x14ac:dyDescent="0.25">
      <c r="A60" t="s">
        <v>17</v>
      </c>
      <c r="B60">
        <v>1264</v>
      </c>
      <c r="C60">
        <f>SUM(C61:C70)</f>
        <v>8649.35</v>
      </c>
      <c r="D60">
        <f>SUM(D61:D70)</f>
        <v>5814.35</v>
      </c>
    </row>
    <row r="61" spans="1:4" x14ac:dyDescent="0.25">
      <c r="A61">
        <v>0</v>
      </c>
      <c r="B61">
        <v>637</v>
      </c>
      <c r="C61">
        <v>0</v>
      </c>
      <c r="D61">
        <f t="shared" si="1"/>
        <v>0</v>
      </c>
    </row>
    <row r="62" spans="1:4" x14ac:dyDescent="0.25">
      <c r="A62">
        <v>5</v>
      </c>
      <c r="B62">
        <v>567</v>
      </c>
      <c r="C62">
        <v>5670</v>
      </c>
      <c r="D62">
        <f t="shared" si="1"/>
        <v>2835</v>
      </c>
    </row>
    <row r="63" spans="1:4" x14ac:dyDescent="0.25">
      <c r="A63">
        <v>10</v>
      </c>
      <c r="B63">
        <v>0</v>
      </c>
      <c r="C63">
        <v>0</v>
      </c>
      <c r="D63">
        <f t="shared" si="1"/>
        <v>0</v>
      </c>
    </row>
    <row r="64" spans="1:4" x14ac:dyDescent="0.25">
      <c r="A64">
        <v>35.42</v>
      </c>
      <c r="B64">
        <v>33</v>
      </c>
      <c r="C64">
        <v>1168.8600000000001</v>
      </c>
      <c r="D64">
        <f t="shared" si="1"/>
        <v>1168.8600000000001</v>
      </c>
    </row>
    <row r="65" spans="1:4" x14ac:dyDescent="0.25">
      <c r="A65">
        <v>41.67</v>
      </c>
      <c r="B65">
        <v>20</v>
      </c>
      <c r="C65">
        <v>833.40000000000009</v>
      </c>
      <c r="D65">
        <f t="shared" si="1"/>
        <v>833.40000000000009</v>
      </c>
    </row>
    <row r="66" spans="1:4" x14ac:dyDescent="0.25">
      <c r="A66">
        <v>75</v>
      </c>
      <c r="B66">
        <v>2</v>
      </c>
      <c r="C66">
        <v>150</v>
      </c>
      <c r="D66">
        <f t="shared" si="1"/>
        <v>150</v>
      </c>
    </row>
    <row r="67" spans="1:4" x14ac:dyDescent="0.25">
      <c r="A67">
        <v>103.75</v>
      </c>
      <c r="B67">
        <v>0</v>
      </c>
      <c r="C67">
        <v>0</v>
      </c>
      <c r="D67">
        <f t="shared" si="1"/>
        <v>0</v>
      </c>
    </row>
    <row r="68" spans="1:4" x14ac:dyDescent="0.25">
      <c r="A68">
        <v>138.75</v>
      </c>
      <c r="B68">
        <v>3</v>
      </c>
      <c r="C68">
        <v>416.25</v>
      </c>
      <c r="D68">
        <f t="shared" ref="D68:D130" si="2">A68*B68</f>
        <v>416.25</v>
      </c>
    </row>
    <row r="69" spans="1:4" x14ac:dyDescent="0.25">
      <c r="A69">
        <v>205.42</v>
      </c>
      <c r="B69">
        <v>2</v>
      </c>
      <c r="C69">
        <v>410.84</v>
      </c>
      <c r="D69">
        <f t="shared" si="2"/>
        <v>410.84</v>
      </c>
    </row>
    <row r="70" spans="1:4" x14ac:dyDescent="0.25">
      <c r="A70">
        <v>263.75</v>
      </c>
      <c r="B70">
        <v>0</v>
      </c>
      <c r="C70">
        <v>0</v>
      </c>
      <c r="D70">
        <f t="shared" si="2"/>
        <v>0</v>
      </c>
    </row>
    <row r="71" spans="1:4" x14ac:dyDescent="0.25">
      <c r="A71" t="s">
        <v>18</v>
      </c>
      <c r="B71">
        <v>899</v>
      </c>
      <c r="C71">
        <f>SUM(C72:C100)</f>
        <v>10084.530000000001</v>
      </c>
      <c r="D71">
        <f>SUM(D72:D100)</f>
        <v>8964.0300000000007</v>
      </c>
    </row>
    <row r="72" spans="1:4" x14ac:dyDescent="0.25">
      <c r="A72">
        <v>1.55</v>
      </c>
      <c r="B72">
        <v>0</v>
      </c>
      <c r="C72">
        <v>0</v>
      </c>
      <c r="D72">
        <f t="shared" si="2"/>
        <v>0</v>
      </c>
    </row>
    <row r="73" spans="1:4" x14ac:dyDescent="0.25">
      <c r="A73">
        <v>2.4500000000000002</v>
      </c>
      <c r="B73">
        <v>78</v>
      </c>
      <c r="C73">
        <v>191.10000000000002</v>
      </c>
      <c r="D73">
        <f t="shared" si="2"/>
        <v>191.10000000000002</v>
      </c>
    </row>
    <row r="74" spans="1:4" x14ac:dyDescent="0.25">
      <c r="A74">
        <v>3.15</v>
      </c>
      <c r="B74">
        <v>3</v>
      </c>
      <c r="C74">
        <v>9.4499999999999993</v>
      </c>
      <c r="D74">
        <f t="shared" si="2"/>
        <v>9.4499999999999993</v>
      </c>
    </row>
    <row r="75" spans="1:4" x14ac:dyDescent="0.25">
      <c r="A75">
        <v>3.68</v>
      </c>
      <c r="B75">
        <v>2</v>
      </c>
      <c r="C75">
        <v>7.36</v>
      </c>
      <c r="D75">
        <f t="shared" si="2"/>
        <v>7.36</v>
      </c>
    </row>
    <row r="76" spans="1:4" x14ac:dyDescent="0.25">
      <c r="A76">
        <v>3.77</v>
      </c>
      <c r="B76">
        <v>22</v>
      </c>
      <c r="C76">
        <v>82.94</v>
      </c>
      <c r="D76">
        <f t="shared" si="2"/>
        <v>82.94</v>
      </c>
    </row>
    <row r="77" spans="1:4" x14ac:dyDescent="0.25">
      <c r="A77">
        <v>5</v>
      </c>
      <c r="B77">
        <v>1</v>
      </c>
      <c r="C77">
        <v>10</v>
      </c>
      <c r="D77">
        <f t="shared" si="2"/>
        <v>5</v>
      </c>
    </row>
    <row r="78" spans="1:4" x14ac:dyDescent="0.25">
      <c r="A78">
        <v>5.66</v>
      </c>
      <c r="B78">
        <v>90</v>
      </c>
      <c r="C78">
        <v>509.40000000000003</v>
      </c>
      <c r="D78">
        <f t="shared" si="2"/>
        <v>509.40000000000003</v>
      </c>
    </row>
    <row r="79" spans="1:4" x14ac:dyDescent="0.25">
      <c r="A79">
        <v>5.75</v>
      </c>
      <c r="B79">
        <v>194</v>
      </c>
      <c r="C79">
        <v>2231</v>
      </c>
      <c r="D79">
        <f t="shared" si="2"/>
        <v>1115.5</v>
      </c>
    </row>
    <row r="80" spans="1:4" x14ac:dyDescent="0.25">
      <c r="A80">
        <v>7.5</v>
      </c>
      <c r="B80">
        <v>8</v>
      </c>
      <c r="C80">
        <v>60</v>
      </c>
      <c r="D80">
        <f t="shared" si="2"/>
        <v>60</v>
      </c>
    </row>
    <row r="81" spans="1:4" x14ac:dyDescent="0.25">
      <c r="A81">
        <v>7.77</v>
      </c>
      <c r="B81">
        <v>1</v>
      </c>
      <c r="C81">
        <v>7.77</v>
      </c>
      <c r="D81">
        <f t="shared" si="2"/>
        <v>7.77</v>
      </c>
    </row>
    <row r="82" spans="1:4" x14ac:dyDescent="0.25">
      <c r="A82">
        <v>9.8000000000000007</v>
      </c>
      <c r="B82">
        <v>18</v>
      </c>
      <c r="C82">
        <v>176.4</v>
      </c>
      <c r="D82">
        <f t="shared" si="2"/>
        <v>176.4</v>
      </c>
    </row>
    <row r="83" spans="1:4" x14ac:dyDescent="0.25">
      <c r="A83">
        <v>10</v>
      </c>
      <c r="B83">
        <v>0</v>
      </c>
      <c r="C83">
        <v>0</v>
      </c>
      <c r="D83">
        <f t="shared" si="2"/>
        <v>0</v>
      </c>
    </row>
    <row r="84" spans="1:4" x14ac:dyDescent="0.25">
      <c r="A84">
        <v>11.5</v>
      </c>
      <c r="B84">
        <v>88</v>
      </c>
      <c r="C84">
        <v>1012</v>
      </c>
      <c r="D84">
        <f t="shared" si="2"/>
        <v>1012</v>
      </c>
    </row>
    <row r="85" spans="1:4" x14ac:dyDescent="0.25">
      <c r="A85">
        <v>11.66</v>
      </c>
      <c r="B85">
        <v>384</v>
      </c>
      <c r="C85">
        <v>4477.4400000000005</v>
      </c>
      <c r="D85">
        <f t="shared" si="2"/>
        <v>4477.4400000000005</v>
      </c>
    </row>
    <row r="86" spans="1:4" x14ac:dyDescent="0.25">
      <c r="A86">
        <v>15.45</v>
      </c>
      <c r="B86">
        <v>0</v>
      </c>
      <c r="C86">
        <v>0</v>
      </c>
      <c r="D86">
        <f t="shared" si="2"/>
        <v>0</v>
      </c>
    </row>
    <row r="87" spans="1:4" x14ac:dyDescent="0.25">
      <c r="A87">
        <v>16.39</v>
      </c>
      <c r="B87">
        <v>0</v>
      </c>
      <c r="C87">
        <v>0</v>
      </c>
      <c r="D87">
        <f t="shared" si="2"/>
        <v>0</v>
      </c>
    </row>
    <row r="88" spans="1:4" x14ac:dyDescent="0.25">
      <c r="A88">
        <v>16.89</v>
      </c>
      <c r="B88">
        <v>3</v>
      </c>
      <c r="C88">
        <v>50.67</v>
      </c>
      <c r="D88">
        <f t="shared" si="2"/>
        <v>50.67</v>
      </c>
    </row>
    <row r="89" spans="1:4" x14ac:dyDescent="0.25">
      <c r="A89">
        <v>17</v>
      </c>
      <c r="B89">
        <v>2</v>
      </c>
      <c r="C89">
        <v>34</v>
      </c>
      <c r="D89">
        <f t="shared" si="2"/>
        <v>34</v>
      </c>
    </row>
    <row r="90" spans="1:4" x14ac:dyDescent="0.25">
      <c r="A90">
        <v>17.059999999999999</v>
      </c>
      <c r="B90">
        <v>0</v>
      </c>
      <c r="C90">
        <v>0</v>
      </c>
      <c r="D90">
        <f t="shared" si="2"/>
        <v>0</v>
      </c>
    </row>
    <row r="91" spans="1:4" x14ac:dyDescent="0.25">
      <c r="A91">
        <v>23.1</v>
      </c>
      <c r="B91">
        <v>0</v>
      </c>
      <c r="C91">
        <v>0</v>
      </c>
      <c r="D91">
        <f t="shared" si="2"/>
        <v>0</v>
      </c>
    </row>
    <row r="92" spans="1:4" x14ac:dyDescent="0.25">
      <c r="A92">
        <v>25</v>
      </c>
      <c r="B92">
        <v>1</v>
      </c>
      <c r="C92">
        <v>25</v>
      </c>
      <c r="D92">
        <f t="shared" si="2"/>
        <v>25</v>
      </c>
    </row>
    <row r="93" spans="1:4" x14ac:dyDescent="0.25">
      <c r="A93">
        <v>35.700000000000003</v>
      </c>
      <c r="B93">
        <v>0</v>
      </c>
      <c r="C93">
        <v>0</v>
      </c>
      <c r="D93">
        <f t="shared" si="2"/>
        <v>0</v>
      </c>
    </row>
    <row r="94" spans="1:4" x14ac:dyDescent="0.25">
      <c r="A94">
        <v>37</v>
      </c>
      <c r="B94">
        <v>0</v>
      </c>
      <c r="C94">
        <v>0</v>
      </c>
      <c r="D94">
        <f t="shared" si="2"/>
        <v>0</v>
      </c>
    </row>
    <row r="95" spans="1:4" x14ac:dyDescent="0.25">
      <c r="A95">
        <v>50</v>
      </c>
      <c r="B95">
        <v>0</v>
      </c>
      <c r="C95">
        <v>0</v>
      </c>
      <c r="D95">
        <f t="shared" si="2"/>
        <v>0</v>
      </c>
    </row>
    <row r="96" spans="1:4" x14ac:dyDescent="0.25">
      <c r="A96">
        <v>75</v>
      </c>
      <c r="B96">
        <v>0</v>
      </c>
      <c r="C96">
        <v>0</v>
      </c>
      <c r="D96">
        <f t="shared" si="2"/>
        <v>0</v>
      </c>
    </row>
    <row r="97" spans="1:4" x14ac:dyDescent="0.25">
      <c r="A97">
        <v>82</v>
      </c>
      <c r="B97">
        <v>0</v>
      </c>
      <c r="C97">
        <v>0</v>
      </c>
      <c r="D97">
        <f t="shared" si="2"/>
        <v>0</v>
      </c>
    </row>
    <row r="98" spans="1:4" x14ac:dyDescent="0.25">
      <c r="A98">
        <v>100</v>
      </c>
      <c r="B98">
        <v>0</v>
      </c>
      <c r="C98">
        <v>0</v>
      </c>
      <c r="D98">
        <f t="shared" si="2"/>
        <v>0</v>
      </c>
    </row>
    <row r="99" spans="1:4" x14ac:dyDescent="0.25">
      <c r="A99">
        <v>230</v>
      </c>
      <c r="B99">
        <v>0</v>
      </c>
      <c r="C99">
        <v>0</v>
      </c>
      <c r="D99">
        <f t="shared" si="2"/>
        <v>0</v>
      </c>
    </row>
    <row r="100" spans="1:4" x14ac:dyDescent="0.25">
      <c r="A100">
        <v>300</v>
      </c>
      <c r="B100">
        <v>4</v>
      </c>
      <c r="C100">
        <v>1200</v>
      </c>
      <c r="D100">
        <f t="shared" si="2"/>
        <v>1200</v>
      </c>
    </row>
    <row r="101" spans="1:4" x14ac:dyDescent="0.25">
      <c r="A101" t="s">
        <v>19</v>
      </c>
      <c r="B101">
        <v>2023</v>
      </c>
      <c r="C101">
        <f>SUM(C102:C108)</f>
        <v>43415.92</v>
      </c>
      <c r="D101">
        <f>SUM(D102:D108)</f>
        <v>43415.92</v>
      </c>
    </row>
    <row r="102" spans="1:4" x14ac:dyDescent="0.25">
      <c r="A102">
        <v>19</v>
      </c>
      <c r="B102">
        <v>999</v>
      </c>
      <c r="C102">
        <v>18981</v>
      </c>
      <c r="D102">
        <f>A102*B102</f>
        <v>18981</v>
      </c>
    </row>
    <row r="103" spans="1:4" x14ac:dyDescent="0.25">
      <c r="A103">
        <v>22.53</v>
      </c>
      <c r="B103">
        <v>203</v>
      </c>
      <c r="C103">
        <v>4573.59</v>
      </c>
      <c r="D103">
        <f t="shared" si="2"/>
        <v>4573.59</v>
      </c>
    </row>
    <row r="104" spans="1:4" x14ac:dyDescent="0.25">
      <c r="A104">
        <v>24</v>
      </c>
      <c r="B104">
        <v>726</v>
      </c>
      <c r="C104">
        <v>17424</v>
      </c>
      <c r="D104">
        <f t="shared" si="2"/>
        <v>17424</v>
      </c>
    </row>
    <row r="105" spans="1:4" x14ac:dyDescent="0.25">
      <c r="A105">
        <v>24.81</v>
      </c>
      <c r="B105">
        <v>93</v>
      </c>
      <c r="C105">
        <v>2307.33</v>
      </c>
      <c r="D105">
        <f t="shared" si="2"/>
        <v>2307.33</v>
      </c>
    </row>
    <row r="106" spans="1:4" x14ac:dyDescent="0.25">
      <c r="A106">
        <v>27</v>
      </c>
      <c r="B106">
        <v>0</v>
      </c>
      <c r="C106">
        <v>0</v>
      </c>
      <c r="D106">
        <f t="shared" si="2"/>
        <v>0</v>
      </c>
    </row>
    <row r="107" spans="1:4" x14ac:dyDescent="0.25">
      <c r="A107">
        <v>40</v>
      </c>
      <c r="B107">
        <v>0</v>
      </c>
      <c r="C107">
        <v>0</v>
      </c>
      <c r="D107">
        <f t="shared" si="2"/>
        <v>0</v>
      </c>
    </row>
    <row r="108" spans="1:4" x14ac:dyDescent="0.25">
      <c r="A108">
        <v>65</v>
      </c>
      <c r="B108">
        <v>2</v>
      </c>
      <c r="C108">
        <v>130</v>
      </c>
      <c r="D108">
        <f t="shared" si="2"/>
        <v>130</v>
      </c>
    </row>
    <row r="109" spans="1:4" x14ac:dyDescent="0.25">
      <c r="A109" t="s">
        <v>20</v>
      </c>
      <c r="B109">
        <v>61</v>
      </c>
      <c r="C109">
        <f>SUM(C110:C118)</f>
        <v>3742</v>
      </c>
      <c r="D109">
        <f>SUM(D110:D118)</f>
        <v>1542</v>
      </c>
    </row>
    <row r="110" spans="1:4" x14ac:dyDescent="0.25">
      <c r="A110">
        <v>4.05</v>
      </c>
      <c r="B110">
        <v>0</v>
      </c>
      <c r="C110">
        <v>0</v>
      </c>
      <c r="D110">
        <f t="shared" si="2"/>
        <v>0</v>
      </c>
    </row>
    <row r="111" spans="1:4" x14ac:dyDescent="0.25">
      <c r="A111">
        <v>9.84</v>
      </c>
      <c r="B111">
        <v>0</v>
      </c>
      <c r="C111">
        <v>0</v>
      </c>
      <c r="D111">
        <f t="shared" si="2"/>
        <v>0</v>
      </c>
    </row>
    <row r="112" spans="1:4" x14ac:dyDescent="0.25">
      <c r="A112">
        <v>20</v>
      </c>
      <c r="B112">
        <v>53</v>
      </c>
      <c r="C112">
        <v>3180</v>
      </c>
      <c r="D112">
        <f t="shared" si="2"/>
        <v>1060</v>
      </c>
    </row>
    <row r="113" spans="1:4" x14ac:dyDescent="0.25">
      <c r="A113">
        <v>25</v>
      </c>
      <c r="B113">
        <v>3</v>
      </c>
      <c r="C113">
        <v>75</v>
      </c>
      <c r="D113">
        <f t="shared" si="2"/>
        <v>75</v>
      </c>
    </row>
    <row r="114" spans="1:4" x14ac:dyDescent="0.25">
      <c r="A114">
        <v>28.93</v>
      </c>
      <c r="B114">
        <v>0</v>
      </c>
      <c r="C114">
        <v>0</v>
      </c>
      <c r="D114">
        <f t="shared" si="2"/>
        <v>0</v>
      </c>
    </row>
    <row r="115" spans="1:4" x14ac:dyDescent="0.25">
      <c r="A115">
        <v>30</v>
      </c>
      <c r="B115">
        <v>1</v>
      </c>
      <c r="C115">
        <v>30</v>
      </c>
      <c r="D115">
        <f t="shared" si="2"/>
        <v>30</v>
      </c>
    </row>
    <row r="116" spans="1:4" x14ac:dyDescent="0.25">
      <c r="A116">
        <v>40</v>
      </c>
      <c r="B116">
        <v>0</v>
      </c>
      <c r="C116">
        <v>0</v>
      </c>
      <c r="D116">
        <f t="shared" si="2"/>
        <v>0</v>
      </c>
    </row>
    <row r="117" spans="1:4" x14ac:dyDescent="0.25">
      <c r="A117">
        <v>80</v>
      </c>
      <c r="B117">
        <v>1</v>
      </c>
      <c r="C117">
        <v>160</v>
      </c>
      <c r="D117">
        <f t="shared" si="2"/>
        <v>80</v>
      </c>
    </row>
    <row r="118" spans="1:4" x14ac:dyDescent="0.25">
      <c r="A118">
        <v>99</v>
      </c>
      <c r="B118">
        <v>3</v>
      </c>
      <c r="C118">
        <v>297</v>
      </c>
      <c r="D118">
        <f t="shared" si="2"/>
        <v>297</v>
      </c>
    </row>
    <row r="119" spans="1:4" x14ac:dyDescent="0.25">
      <c r="A119" t="s">
        <v>21</v>
      </c>
      <c r="B119">
        <v>219</v>
      </c>
      <c r="C119">
        <f>SUM(C120:C130)</f>
        <v>4374.6899999999996</v>
      </c>
      <c r="D119">
        <f>SUM(D120:D130)</f>
        <v>1375.26</v>
      </c>
    </row>
    <row r="120" spans="1:4" x14ac:dyDescent="0.25">
      <c r="A120">
        <v>3.94</v>
      </c>
      <c r="B120">
        <v>1</v>
      </c>
      <c r="C120">
        <v>3.94</v>
      </c>
      <c r="D120">
        <f t="shared" si="2"/>
        <v>3.94</v>
      </c>
    </row>
    <row r="121" spans="1:4" x14ac:dyDescent="0.25">
      <c r="A121">
        <v>4.5999999999999996</v>
      </c>
      <c r="B121">
        <v>0</v>
      </c>
      <c r="C121">
        <v>0</v>
      </c>
      <c r="D121">
        <f t="shared" si="2"/>
        <v>0</v>
      </c>
    </row>
    <row r="122" spans="1:4" x14ac:dyDescent="0.25">
      <c r="A122">
        <v>4.6900000000000004</v>
      </c>
      <c r="B122">
        <v>17</v>
      </c>
      <c r="C122">
        <v>79.73</v>
      </c>
      <c r="D122">
        <f t="shared" si="2"/>
        <v>79.73</v>
      </c>
    </row>
    <row r="123" spans="1:4" x14ac:dyDescent="0.25">
      <c r="A123">
        <v>4.82</v>
      </c>
      <c r="B123">
        <v>5</v>
      </c>
      <c r="C123">
        <v>24.1</v>
      </c>
      <c r="D123">
        <f t="shared" si="2"/>
        <v>24.1</v>
      </c>
    </row>
    <row r="124" spans="1:4" x14ac:dyDescent="0.25">
      <c r="A124">
        <v>5.27</v>
      </c>
      <c r="B124">
        <v>9</v>
      </c>
      <c r="C124">
        <v>47.429999999999993</v>
      </c>
      <c r="D124">
        <f t="shared" si="2"/>
        <v>47.429999999999993</v>
      </c>
    </row>
    <row r="125" spans="1:4" x14ac:dyDescent="0.25">
      <c r="A125">
        <v>5.76</v>
      </c>
      <c r="B125">
        <v>0</v>
      </c>
      <c r="C125">
        <v>0</v>
      </c>
      <c r="D125">
        <f t="shared" si="2"/>
        <v>0</v>
      </c>
    </row>
    <row r="126" spans="1:4" x14ac:dyDescent="0.25">
      <c r="A126">
        <v>6.21</v>
      </c>
      <c r="B126">
        <v>161</v>
      </c>
      <c r="C126">
        <v>3999.24</v>
      </c>
      <c r="D126">
        <f t="shared" si="2"/>
        <v>999.81</v>
      </c>
    </row>
    <row r="127" spans="1:4" x14ac:dyDescent="0.25">
      <c r="A127">
        <v>8.33</v>
      </c>
      <c r="B127">
        <v>25</v>
      </c>
      <c r="C127">
        <v>208.25</v>
      </c>
      <c r="D127">
        <f t="shared" si="2"/>
        <v>208.25</v>
      </c>
    </row>
    <row r="128" spans="1:4" x14ac:dyDescent="0.25">
      <c r="A128">
        <v>8.91</v>
      </c>
      <c r="B128">
        <v>0</v>
      </c>
      <c r="C128">
        <v>0</v>
      </c>
      <c r="D128">
        <f t="shared" si="2"/>
        <v>0</v>
      </c>
    </row>
    <row r="129" spans="1:4" x14ac:dyDescent="0.25">
      <c r="A129">
        <v>9.49</v>
      </c>
      <c r="B129">
        <v>0</v>
      </c>
      <c r="C129">
        <v>0</v>
      </c>
      <c r="D129">
        <f t="shared" si="2"/>
        <v>0</v>
      </c>
    </row>
    <row r="130" spans="1:4" x14ac:dyDescent="0.25">
      <c r="A130">
        <v>12</v>
      </c>
      <c r="B130">
        <v>1</v>
      </c>
      <c r="C130">
        <v>12</v>
      </c>
      <c r="D130">
        <f t="shared" si="2"/>
        <v>12</v>
      </c>
    </row>
    <row r="131" spans="1:4" x14ac:dyDescent="0.25">
      <c r="A131" t="s">
        <v>22</v>
      </c>
      <c r="B131">
        <v>120</v>
      </c>
      <c r="C131">
        <f>SUM(C132:C134)</f>
        <v>210</v>
      </c>
      <c r="D131">
        <f>SUM(D132:D134)</f>
        <v>150</v>
      </c>
    </row>
    <row r="132" spans="1:4" x14ac:dyDescent="0.25">
      <c r="A132">
        <v>0</v>
      </c>
      <c r="B132">
        <v>88</v>
      </c>
      <c r="C132">
        <v>0</v>
      </c>
      <c r="D132">
        <f t="shared" ref="D132:D146" si="3">A132*B132</f>
        <v>0</v>
      </c>
    </row>
    <row r="133" spans="1:4" x14ac:dyDescent="0.25">
      <c r="A133">
        <v>3</v>
      </c>
      <c r="B133">
        <v>30</v>
      </c>
      <c r="C133">
        <v>90</v>
      </c>
      <c r="D133">
        <f t="shared" si="3"/>
        <v>90</v>
      </c>
    </row>
    <row r="134" spans="1:4" x14ac:dyDescent="0.25">
      <c r="A134">
        <v>30</v>
      </c>
      <c r="B134">
        <v>2</v>
      </c>
      <c r="C134">
        <v>120</v>
      </c>
      <c r="D134">
        <f t="shared" si="3"/>
        <v>60</v>
      </c>
    </row>
    <row r="135" spans="1:4" x14ac:dyDescent="0.25">
      <c r="A135" t="s">
        <v>23</v>
      </c>
      <c r="B135">
        <v>22</v>
      </c>
      <c r="C135">
        <f>SUM(C136:C138)</f>
        <v>1800</v>
      </c>
      <c r="D135">
        <f>SUM(D136:D138)</f>
        <v>1800</v>
      </c>
    </row>
    <row r="136" spans="1:4" x14ac:dyDescent="0.25">
      <c r="A136">
        <v>60</v>
      </c>
      <c r="B136">
        <v>1</v>
      </c>
      <c r="C136">
        <v>60</v>
      </c>
      <c r="D136">
        <f t="shared" si="3"/>
        <v>60</v>
      </c>
    </row>
    <row r="137" spans="1:4" x14ac:dyDescent="0.25">
      <c r="A137">
        <v>75</v>
      </c>
      <c r="B137">
        <v>10</v>
      </c>
      <c r="C137">
        <v>750</v>
      </c>
      <c r="D137">
        <f t="shared" si="3"/>
        <v>750</v>
      </c>
    </row>
    <row r="138" spans="1:4" x14ac:dyDescent="0.25">
      <c r="A138">
        <v>90</v>
      </c>
      <c r="B138">
        <v>11</v>
      </c>
      <c r="C138">
        <v>990</v>
      </c>
      <c r="D138">
        <f t="shared" si="3"/>
        <v>990</v>
      </c>
    </row>
    <row r="139" spans="1:4" x14ac:dyDescent="0.25">
      <c r="A139" t="s">
        <v>24</v>
      </c>
      <c r="B139">
        <v>301</v>
      </c>
      <c r="C139">
        <f>SUM(C140:C143)</f>
        <v>1082.5</v>
      </c>
      <c r="D139">
        <f>SUM(D140:D143)</f>
        <v>1082.5</v>
      </c>
    </row>
    <row r="140" spans="1:4" x14ac:dyDescent="0.25">
      <c r="A140">
        <v>0.75</v>
      </c>
      <c r="B140">
        <v>98</v>
      </c>
      <c r="C140">
        <v>73.5</v>
      </c>
      <c r="D140">
        <f t="shared" si="3"/>
        <v>73.5</v>
      </c>
    </row>
    <row r="141" spans="1:4" x14ac:dyDescent="0.25">
      <c r="A141">
        <v>2</v>
      </c>
      <c r="B141">
        <v>2</v>
      </c>
      <c r="C141">
        <v>4</v>
      </c>
      <c r="D141">
        <f t="shared" si="3"/>
        <v>4</v>
      </c>
    </row>
    <row r="142" spans="1:4" x14ac:dyDescent="0.25">
      <c r="A142">
        <v>5</v>
      </c>
      <c r="B142">
        <v>201</v>
      </c>
      <c r="C142">
        <v>1005</v>
      </c>
      <c r="D142">
        <f t="shared" si="3"/>
        <v>1005</v>
      </c>
    </row>
    <row r="143" spans="1:4" x14ac:dyDescent="0.25">
      <c r="A143">
        <v>6</v>
      </c>
      <c r="B143">
        <v>0</v>
      </c>
      <c r="C143">
        <v>0</v>
      </c>
      <c r="D143">
        <f t="shared" si="3"/>
        <v>0</v>
      </c>
    </row>
    <row r="144" spans="1:4" x14ac:dyDescent="0.25">
      <c r="A144" t="s">
        <v>25</v>
      </c>
      <c r="B144">
        <v>0</v>
      </c>
      <c r="C144">
        <v>0</v>
      </c>
      <c r="D144">
        <f>SUM(D145:D146)</f>
        <v>0</v>
      </c>
    </row>
    <row r="145" spans="1:4" x14ac:dyDescent="0.25">
      <c r="A145">
        <v>50</v>
      </c>
      <c r="B145">
        <v>0</v>
      </c>
      <c r="C145">
        <v>0</v>
      </c>
      <c r="D145">
        <f t="shared" si="3"/>
        <v>0</v>
      </c>
    </row>
    <row r="146" spans="1:4" x14ac:dyDescent="0.25">
      <c r="A146">
        <v>90</v>
      </c>
      <c r="B146">
        <v>0</v>
      </c>
      <c r="C146">
        <v>0</v>
      </c>
      <c r="D146">
        <f t="shared" si="3"/>
        <v>0</v>
      </c>
    </row>
    <row r="147" spans="1:4" x14ac:dyDescent="0.25">
      <c r="A147" t="s">
        <v>13</v>
      </c>
      <c r="B147">
        <v>18502</v>
      </c>
      <c r="C147">
        <v>89149296.719999984</v>
      </c>
      <c r="D147">
        <f>D2+D49+D60+D71+D101+D109+D119+D131+D135+D139+D144</f>
        <v>150377.24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E2EA6-EF00-4EBE-AD34-23A0C4764AB8}">
  <sheetPr filterMode="1"/>
  <dimension ref="A1:AJ194"/>
  <sheetViews>
    <sheetView tabSelected="1" topLeftCell="D1" workbookViewId="0">
      <selection activeCell="H2" sqref="H2"/>
    </sheetView>
  </sheetViews>
  <sheetFormatPr baseColWidth="10" defaultColWidth="11.42578125" defaultRowHeight="15" x14ac:dyDescent="0.25"/>
  <cols>
    <col min="2" max="2" width="24.42578125" customWidth="1"/>
    <col min="3" max="3" width="35.28515625" customWidth="1"/>
    <col min="6" max="6" width="33.140625" customWidth="1"/>
    <col min="16" max="16" width="24.42578125" customWidth="1"/>
    <col min="17" max="17" width="32.28515625" customWidth="1"/>
  </cols>
  <sheetData>
    <row r="1" spans="1:36" x14ac:dyDescent="0.25">
      <c r="A1" t="s">
        <v>26</v>
      </c>
      <c r="B1" t="s">
        <v>0</v>
      </c>
      <c r="C1"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row>
    <row r="2" spans="1:36" ht="28.15" customHeight="1" x14ac:dyDescent="0.25">
      <c r="A2">
        <v>241</v>
      </c>
      <c r="B2" t="s">
        <v>1</v>
      </c>
      <c r="C2" t="s">
        <v>61</v>
      </c>
      <c r="D2" t="s">
        <v>62</v>
      </c>
      <c r="F2" s="1" t="s">
        <v>63</v>
      </c>
      <c r="G2" t="s">
        <v>64</v>
      </c>
      <c r="H2" t="s">
        <v>64</v>
      </c>
      <c r="I2">
        <v>6.57</v>
      </c>
      <c r="J2">
        <v>3.94</v>
      </c>
      <c r="K2">
        <v>3.94</v>
      </c>
      <c r="L2">
        <v>3.94</v>
      </c>
      <c r="M2">
        <v>8</v>
      </c>
      <c r="N2">
        <v>10</v>
      </c>
      <c r="O2">
        <v>13</v>
      </c>
      <c r="P2">
        <v>6387</v>
      </c>
      <c r="Q2" t="s">
        <v>4</v>
      </c>
      <c r="R2">
        <v>3493</v>
      </c>
      <c r="S2" t="s">
        <v>5</v>
      </c>
      <c r="T2">
        <v>2894</v>
      </c>
    </row>
    <row r="3" spans="1:36" ht="28.15" customHeight="1" x14ac:dyDescent="0.25">
      <c r="A3">
        <v>241</v>
      </c>
      <c r="B3" t="s">
        <v>1</v>
      </c>
      <c r="C3" t="s">
        <v>65</v>
      </c>
      <c r="D3" t="s">
        <v>62</v>
      </c>
      <c r="F3" s="1" t="s">
        <v>66</v>
      </c>
      <c r="G3" t="s">
        <v>64</v>
      </c>
      <c r="H3" t="s">
        <v>64</v>
      </c>
      <c r="I3">
        <v>9.7100000000000009</v>
      </c>
      <c r="J3">
        <v>4.17</v>
      </c>
      <c r="K3">
        <v>3.94</v>
      </c>
      <c r="L3">
        <v>3.94</v>
      </c>
      <c r="M3">
        <v>8</v>
      </c>
      <c r="N3">
        <v>10</v>
      </c>
      <c r="O3">
        <v>13</v>
      </c>
      <c r="P3">
        <v>6387</v>
      </c>
      <c r="Q3" t="s">
        <v>4</v>
      </c>
      <c r="R3">
        <v>3493</v>
      </c>
      <c r="S3" t="s">
        <v>5</v>
      </c>
      <c r="T3">
        <v>2894</v>
      </c>
    </row>
    <row r="4" spans="1:36" ht="28.15" customHeight="1" x14ac:dyDescent="0.25">
      <c r="A4">
        <v>241</v>
      </c>
      <c r="B4" t="s">
        <v>1</v>
      </c>
      <c r="C4" t="s">
        <v>67</v>
      </c>
      <c r="D4" t="s">
        <v>62</v>
      </c>
      <c r="F4" s="1" t="s">
        <v>68</v>
      </c>
      <c r="G4" t="s">
        <v>64</v>
      </c>
      <c r="H4" t="s">
        <v>64</v>
      </c>
      <c r="I4">
        <v>4.92</v>
      </c>
      <c r="J4">
        <v>3.94</v>
      </c>
      <c r="K4">
        <v>3.94</v>
      </c>
      <c r="L4">
        <v>4.18</v>
      </c>
      <c r="M4">
        <v>8</v>
      </c>
      <c r="N4">
        <v>10</v>
      </c>
      <c r="O4">
        <v>13</v>
      </c>
      <c r="P4">
        <v>6387</v>
      </c>
      <c r="Q4" t="s">
        <v>4</v>
      </c>
      <c r="R4">
        <v>3493</v>
      </c>
      <c r="S4" t="s">
        <v>5</v>
      </c>
      <c r="T4">
        <v>2894</v>
      </c>
    </row>
    <row r="5" spans="1:36" ht="59.45" customHeight="1" x14ac:dyDescent="0.25">
      <c r="A5">
        <v>178</v>
      </c>
      <c r="B5" t="s">
        <v>1</v>
      </c>
      <c r="C5" t="s">
        <v>69</v>
      </c>
      <c r="D5" t="s">
        <v>62</v>
      </c>
      <c r="F5" s="1" t="s">
        <v>70</v>
      </c>
      <c r="G5" t="s">
        <v>64</v>
      </c>
      <c r="H5" t="s">
        <v>64</v>
      </c>
      <c r="I5">
        <v>9.7100000000000009</v>
      </c>
      <c r="J5">
        <v>4.37</v>
      </c>
      <c r="K5">
        <v>4.8600000000000003</v>
      </c>
      <c r="L5">
        <v>4.8600000000000003</v>
      </c>
      <c r="M5">
        <v>9</v>
      </c>
      <c r="N5">
        <v>12</v>
      </c>
      <c r="O5">
        <v>17</v>
      </c>
      <c r="P5">
        <v>4081</v>
      </c>
      <c r="Q5" t="s">
        <v>5</v>
      </c>
      <c r="R5">
        <v>3050</v>
      </c>
      <c r="S5" t="s">
        <v>4</v>
      </c>
      <c r="T5">
        <v>1031</v>
      </c>
    </row>
    <row r="6" spans="1:36" hidden="1" x14ac:dyDescent="0.25">
      <c r="A6">
        <v>36</v>
      </c>
      <c r="B6" t="s">
        <v>16</v>
      </c>
      <c r="C6" t="s">
        <v>71</v>
      </c>
      <c r="D6" t="s">
        <v>72</v>
      </c>
      <c r="F6" t="s">
        <v>73</v>
      </c>
      <c r="G6" t="s">
        <v>64</v>
      </c>
      <c r="H6" t="s">
        <v>64</v>
      </c>
      <c r="I6">
        <v>0</v>
      </c>
      <c r="J6">
        <v>15</v>
      </c>
      <c r="K6">
        <v>15</v>
      </c>
      <c r="L6">
        <v>15</v>
      </c>
      <c r="M6">
        <v>15</v>
      </c>
      <c r="N6">
        <v>15</v>
      </c>
      <c r="O6">
        <v>30</v>
      </c>
      <c r="P6">
        <v>1203</v>
      </c>
      <c r="Q6" t="s">
        <v>8</v>
      </c>
      <c r="R6">
        <v>1145</v>
      </c>
      <c r="S6" t="s">
        <v>7</v>
      </c>
      <c r="T6">
        <v>38</v>
      </c>
      <c r="U6" t="s">
        <v>74</v>
      </c>
      <c r="V6">
        <v>5</v>
      </c>
      <c r="W6" t="s">
        <v>9</v>
      </c>
      <c r="X6">
        <v>2</v>
      </c>
      <c r="Y6" t="s">
        <v>75</v>
      </c>
      <c r="Z6">
        <v>2</v>
      </c>
      <c r="AA6" t="s">
        <v>76</v>
      </c>
      <c r="AB6">
        <v>1</v>
      </c>
    </row>
    <row r="7" spans="1:36" hidden="1" x14ac:dyDescent="0.25">
      <c r="A7">
        <v>100</v>
      </c>
      <c r="B7" t="s">
        <v>19</v>
      </c>
      <c r="C7" t="s">
        <v>77</v>
      </c>
      <c r="D7" t="s">
        <v>72</v>
      </c>
      <c r="F7" t="s">
        <v>78</v>
      </c>
      <c r="G7" t="s">
        <v>64</v>
      </c>
      <c r="H7" t="s">
        <v>64</v>
      </c>
      <c r="I7">
        <v>0</v>
      </c>
      <c r="J7">
        <v>19</v>
      </c>
      <c r="K7">
        <v>28</v>
      </c>
      <c r="L7">
        <v>28</v>
      </c>
      <c r="M7">
        <v>40</v>
      </c>
      <c r="N7">
        <v>45</v>
      </c>
      <c r="O7">
        <v>50</v>
      </c>
      <c r="P7">
        <v>999</v>
      </c>
      <c r="Q7" t="s">
        <v>5</v>
      </c>
      <c r="R7">
        <v>518</v>
      </c>
      <c r="S7" t="s">
        <v>79</v>
      </c>
      <c r="T7">
        <v>349</v>
      </c>
      <c r="U7" t="s">
        <v>80</v>
      </c>
      <c r="V7">
        <v>50</v>
      </c>
      <c r="W7" t="s">
        <v>81</v>
      </c>
      <c r="X7">
        <v>37</v>
      </c>
      <c r="Y7" t="s">
        <v>82</v>
      </c>
      <c r="Z7">
        <v>31</v>
      </c>
      <c r="AA7" t="s">
        <v>83</v>
      </c>
      <c r="AB7">
        <v>7</v>
      </c>
    </row>
    <row r="8" spans="1:36" hidden="1" x14ac:dyDescent="0.25">
      <c r="A8">
        <v>175</v>
      </c>
      <c r="B8" t="s">
        <v>19</v>
      </c>
      <c r="C8" t="s">
        <v>84</v>
      </c>
      <c r="D8" t="s">
        <v>72</v>
      </c>
      <c r="G8" t="s">
        <v>64</v>
      </c>
      <c r="H8" t="s">
        <v>64</v>
      </c>
      <c r="I8">
        <v>0</v>
      </c>
      <c r="J8">
        <v>24</v>
      </c>
      <c r="K8">
        <v>30</v>
      </c>
      <c r="L8">
        <v>30</v>
      </c>
      <c r="M8">
        <v>45</v>
      </c>
      <c r="N8">
        <v>55</v>
      </c>
      <c r="O8">
        <v>55</v>
      </c>
      <c r="P8">
        <v>726</v>
      </c>
      <c r="Q8" t="s">
        <v>5</v>
      </c>
      <c r="R8">
        <v>608</v>
      </c>
      <c r="S8" t="s">
        <v>79</v>
      </c>
      <c r="T8">
        <v>45</v>
      </c>
      <c r="U8" t="s">
        <v>82</v>
      </c>
      <c r="V8">
        <v>31</v>
      </c>
      <c r="W8" t="s">
        <v>80</v>
      </c>
      <c r="X8">
        <v>25</v>
      </c>
      <c r="Y8" t="s">
        <v>81</v>
      </c>
      <c r="Z8">
        <v>17</v>
      </c>
    </row>
    <row r="9" spans="1:36" hidden="1" x14ac:dyDescent="0.25">
      <c r="A9">
        <v>207</v>
      </c>
      <c r="B9" t="s">
        <v>17</v>
      </c>
      <c r="C9" t="s">
        <v>85</v>
      </c>
      <c r="D9" t="s">
        <v>86</v>
      </c>
      <c r="G9" t="s">
        <v>64</v>
      </c>
      <c r="H9" t="s">
        <v>64</v>
      </c>
      <c r="I9">
        <v>0</v>
      </c>
      <c r="J9">
        <v>0</v>
      </c>
      <c r="K9">
        <v>0</v>
      </c>
      <c r="L9">
        <v>0</v>
      </c>
      <c r="M9">
        <v>0</v>
      </c>
      <c r="N9">
        <v>0</v>
      </c>
      <c r="O9">
        <v>15</v>
      </c>
      <c r="P9">
        <v>637</v>
      </c>
      <c r="Q9" t="s">
        <v>74</v>
      </c>
      <c r="R9">
        <v>229</v>
      </c>
    </row>
    <row r="10" spans="1:36" hidden="1" x14ac:dyDescent="0.25">
      <c r="A10">
        <v>67</v>
      </c>
      <c r="B10" t="s">
        <v>17</v>
      </c>
      <c r="C10" t="s">
        <v>87</v>
      </c>
      <c r="D10" t="s">
        <v>86</v>
      </c>
      <c r="G10" t="s">
        <v>88</v>
      </c>
      <c r="H10" t="s">
        <v>64</v>
      </c>
      <c r="I10">
        <v>0</v>
      </c>
      <c r="J10">
        <v>5</v>
      </c>
      <c r="K10">
        <v>0</v>
      </c>
      <c r="L10">
        <v>0</v>
      </c>
      <c r="M10">
        <v>0</v>
      </c>
      <c r="N10">
        <v>0</v>
      </c>
      <c r="O10">
        <v>0</v>
      </c>
      <c r="P10">
        <v>422</v>
      </c>
      <c r="Q10" t="s">
        <v>74</v>
      </c>
      <c r="R10">
        <v>7</v>
      </c>
    </row>
    <row r="11" spans="1:36" hidden="1" x14ac:dyDescent="0.25">
      <c r="A11">
        <v>27</v>
      </c>
      <c r="B11" t="s">
        <v>18</v>
      </c>
      <c r="C11" t="s">
        <v>89</v>
      </c>
      <c r="D11" t="s">
        <v>90</v>
      </c>
      <c r="G11" t="s">
        <v>64</v>
      </c>
      <c r="H11" t="s">
        <v>64</v>
      </c>
      <c r="I11">
        <v>0</v>
      </c>
      <c r="J11">
        <v>11.66</v>
      </c>
      <c r="K11">
        <v>11.66</v>
      </c>
      <c r="L11">
        <v>11.66</v>
      </c>
      <c r="M11">
        <v>11.66</v>
      </c>
      <c r="N11">
        <v>11.66</v>
      </c>
      <c r="O11">
        <v>13</v>
      </c>
      <c r="P11">
        <v>384</v>
      </c>
      <c r="Q11" t="s">
        <v>74</v>
      </c>
      <c r="R11">
        <v>223</v>
      </c>
    </row>
    <row r="12" spans="1:36" x14ac:dyDescent="0.25">
      <c r="A12">
        <v>126</v>
      </c>
      <c r="B12" t="s">
        <v>1</v>
      </c>
      <c r="C12" t="s">
        <v>91</v>
      </c>
      <c r="D12" t="s">
        <v>62</v>
      </c>
      <c r="F12" t="s">
        <v>92</v>
      </c>
      <c r="G12" t="s">
        <v>64</v>
      </c>
      <c r="H12" t="s">
        <v>64</v>
      </c>
      <c r="I12">
        <v>0</v>
      </c>
      <c r="J12">
        <v>12</v>
      </c>
      <c r="K12">
        <v>15</v>
      </c>
      <c r="L12">
        <v>15</v>
      </c>
      <c r="M12">
        <v>22</v>
      </c>
      <c r="N12">
        <v>22</v>
      </c>
      <c r="O12">
        <v>25</v>
      </c>
      <c r="P12">
        <v>344</v>
      </c>
      <c r="Q12" t="s">
        <v>8</v>
      </c>
      <c r="R12">
        <v>343</v>
      </c>
      <c r="S12" t="s">
        <v>9</v>
      </c>
      <c r="T12">
        <v>1</v>
      </c>
    </row>
    <row r="13" spans="1:36" x14ac:dyDescent="0.25">
      <c r="A13">
        <v>209</v>
      </c>
      <c r="B13" t="s">
        <v>1</v>
      </c>
      <c r="C13" t="s">
        <v>93</v>
      </c>
      <c r="D13" t="s">
        <v>62</v>
      </c>
      <c r="G13" t="s">
        <v>88</v>
      </c>
      <c r="H13" t="s">
        <v>64</v>
      </c>
      <c r="I13">
        <v>6.9</v>
      </c>
      <c r="J13">
        <v>3.99</v>
      </c>
      <c r="K13">
        <v>8</v>
      </c>
      <c r="L13">
        <v>8</v>
      </c>
      <c r="M13">
        <v>10</v>
      </c>
      <c r="N13">
        <v>10</v>
      </c>
      <c r="O13">
        <v>15</v>
      </c>
      <c r="P13">
        <v>310</v>
      </c>
      <c r="Q13" t="s">
        <v>11</v>
      </c>
      <c r="R13">
        <v>310</v>
      </c>
    </row>
    <row r="14" spans="1:36" hidden="1" x14ac:dyDescent="0.25">
      <c r="A14">
        <v>64</v>
      </c>
      <c r="B14" t="s">
        <v>19</v>
      </c>
      <c r="C14" t="s">
        <v>94</v>
      </c>
      <c r="D14" t="s">
        <v>72</v>
      </c>
      <c r="F14" t="s">
        <v>95</v>
      </c>
      <c r="G14" t="s">
        <v>64</v>
      </c>
      <c r="H14" t="s">
        <v>64</v>
      </c>
      <c r="I14">
        <v>0</v>
      </c>
      <c r="J14">
        <v>22.53</v>
      </c>
      <c r="K14">
        <v>25</v>
      </c>
      <c r="L14">
        <v>25</v>
      </c>
      <c r="M14">
        <v>40</v>
      </c>
      <c r="N14">
        <v>40</v>
      </c>
      <c r="O14">
        <v>50</v>
      </c>
      <c r="P14">
        <v>203</v>
      </c>
      <c r="Q14" t="s">
        <v>8</v>
      </c>
      <c r="R14">
        <v>202</v>
      </c>
      <c r="S14" t="s">
        <v>5</v>
      </c>
      <c r="T14">
        <v>1</v>
      </c>
    </row>
    <row r="15" spans="1:36" hidden="1" x14ac:dyDescent="0.25">
      <c r="A15">
        <v>58</v>
      </c>
      <c r="B15" t="s">
        <v>24</v>
      </c>
      <c r="C15" t="s">
        <v>96</v>
      </c>
      <c r="D15" t="s">
        <v>97</v>
      </c>
      <c r="E15" t="s">
        <v>98</v>
      </c>
      <c r="F15" t="s">
        <v>99</v>
      </c>
      <c r="G15" t="s">
        <v>64</v>
      </c>
      <c r="H15" t="s">
        <v>64</v>
      </c>
      <c r="I15">
        <v>0</v>
      </c>
      <c r="J15">
        <v>5</v>
      </c>
      <c r="K15">
        <v>2</v>
      </c>
      <c r="L15">
        <v>2</v>
      </c>
      <c r="M15">
        <v>3</v>
      </c>
      <c r="N15">
        <v>3</v>
      </c>
      <c r="O15">
        <v>5</v>
      </c>
      <c r="P15">
        <v>201</v>
      </c>
      <c r="Q15" t="s">
        <v>8</v>
      </c>
      <c r="R15">
        <v>201</v>
      </c>
    </row>
    <row r="16" spans="1:36" ht="82.9" customHeight="1" x14ac:dyDescent="0.25">
      <c r="A16">
        <v>221</v>
      </c>
      <c r="B16" t="s">
        <v>1</v>
      </c>
      <c r="C16" t="s">
        <v>100</v>
      </c>
      <c r="D16" t="s">
        <v>62</v>
      </c>
      <c r="F16" s="1" t="s">
        <v>101</v>
      </c>
      <c r="G16" t="s">
        <v>64</v>
      </c>
      <c r="H16" t="s">
        <v>64</v>
      </c>
      <c r="I16">
        <v>8.2200000000000006</v>
      </c>
      <c r="J16">
        <v>4.6900000000000004</v>
      </c>
      <c r="K16">
        <v>6</v>
      </c>
      <c r="L16">
        <v>6</v>
      </c>
      <c r="M16">
        <v>10</v>
      </c>
      <c r="N16">
        <v>12</v>
      </c>
      <c r="O16">
        <v>15</v>
      </c>
      <c r="P16">
        <v>191</v>
      </c>
      <c r="Q16" t="s">
        <v>5</v>
      </c>
      <c r="R16">
        <v>173</v>
      </c>
      <c r="S16" t="s">
        <v>4</v>
      </c>
      <c r="T16">
        <v>18</v>
      </c>
    </row>
    <row r="17" spans="1:22" x14ac:dyDescent="0.25">
      <c r="A17">
        <v>166</v>
      </c>
      <c r="B17" t="s">
        <v>1</v>
      </c>
      <c r="C17" t="s">
        <v>102</v>
      </c>
      <c r="D17" t="s">
        <v>62</v>
      </c>
      <c r="F17" t="s">
        <v>103</v>
      </c>
      <c r="G17" t="s">
        <v>64</v>
      </c>
      <c r="H17" t="s">
        <v>64</v>
      </c>
      <c r="I17">
        <v>0</v>
      </c>
      <c r="J17">
        <v>3.99</v>
      </c>
      <c r="K17">
        <v>7.36</v>
      </c>
      <c r="L17">
        <v>7.36</v>
      </c>
      <c r="M17">
        <v>10</v>
      </c>
      <c r="N17">
        <v>14.72</v>
      </c>
      <c r="O17">
        <v>15</v>
      </c>
      <c r="P17">
        <v>179</v>
      </c>
      <c r="Q17" t="s">
        <v>11</v>
      </c>
      <c r="R17">
        <v>179</v>
      </c>
    </row>
    <row r="18" spans="1:22" hidden="1" x14ac:dyDescent="0.25">
      <c r="A18">
        <v>189</v>
      </c>
      <c r="B18" t="s">
        <v>21</v>
      </c>
      <c r="C18" t="s">
        <v>104</v>
      </c>
      <c r="D18" t="s">
        <v>62</v>
      </c>
      <c r="G18" t="s">
        <v>88</v>
      </c>
      <c r="H18" t="s">
        <v>88</v>
      </c>
      <c r="I18">
        <v>0</v>
      </c>
      <c r="J18">
        <v>6.21</v>
      </c>
      <c r="K18">
        <v>0</v>
      </c>
      <c r="L18">
        <v>0</v>
      </c>
      <c r="M18">
        <v>0</v>
      </c>
      <c r="N18">
        <v>0</v>
      </c>
      <c r="O18">
        <v>0</v>
      </c>
      <c r="P18">
        <v>161</v>
      </c>
      <c r="Q18" t="s">
        <v>5</v>
      </c>
      <c r="R18">
        <v>93</v>
      </c>
      <c r="S18" t="s">
        <v>4</v>
      </c>
      <c r="T18">
        <v>68</v>
      </c>
    </row>
    <row r="19" spans="1:22" hidden="1" x14ac:dyDescent="0.25">
      <c r="A19">
        <v>86</v>
      </c>
      <c r="B19" t="s">
        <v>17</v>
      </c>
      <c r="C19" t="s">
        <v>105</v>
      </c>
      <c r="D19" t="s">
        <v>86</v>
      </c>
      <c r="G19" t="s">
        <v>88</v>
      </c>
      <c r="H19" t="s">
        <v>64</v>
      </c>
      <c r="I19">
        <v>0</v>
      </c>
      <c r="J19">
        <v>5</v>
      </c>
      <c r="K19">
        <v>0</v>
      </c>
      <c r="L19">
        <v>0</v>
      </c>
      <c r="M19">
        <v>0</v>
      </c>
      <c r="N19">
        <v>0</v>
      </c>
      <c r="O19">
        <v>0</v>
      </c>
      <c r="P19">
        <v>145</v>
      </c>
      <c r="Q19" t="s">
        <v>106</v>
      </c>
      <c r="R19">
        <v>137</v>
      </c>
      <c r="S19" t="s">
        <v>74</v>
      </c>
      <c r="T19">
        <v>7</v>
      </c>
    </row>
    <row r="20" spans="1:22" hidden="1" x14ac:dyDescent="0.25">
      <c r="A20">
        <v>235</v>
      </c>
      <c r="B20" t="s">
        <v>16</v>
      </c>
      <c r="C20" t="s">
        <v>107</v>
      </c>
      <c r="D20" t="s">
        <v>97</v>
      </c>
      <c r="G20" t="s">
        <v>64</v>
      </c>
      <c r="H20" t="s">
        <v>64</v>
      </c>
      <c r="I20">
        <v>0</v>
      </c>
      <c r="J20">
        <v>39</v>
      </c>
      <c r="K20">
        <v>39</v>
      </c>
      <c r="L20">
        <v>39</v>
      </c>
      <c r="M20">
        <v>50</v>
      </c>
      <c r="N20">
        <v>50</v>
      </c>
      <c r="O20">
        <v>90</v>
      </c>
      <c r="P20">
        <v>122</v>
      </c>
      <c r="Q20" t="s">
        <v>108</v>
      </c>
      <c r="R20">
        <v>121</v>
      </c>
      <c r="S20" t="s">
        <v>75</v>
      </c>
      <c r="T20">
        <v>1</v>
      </c>
    </row>
    <row r="21" spans="1:22" hidden="1" x14ac:dyDescent="0.25">
      <c r="A21">
        <v>39</v>
      </c>
      <c r="B21" t="s">
        <v>18</v>
      </c>
      <c r="C21" t="s">
        <v>109</v>
      </c>
      <c r="D21" t="s">
        <v>90</v>
      </c>
      <c r="G21" t="s">
        <v>64</v>
      </c>
      <c r="H21" t="s">
        <v>64</v>
      </c>
      <c r="I21">
        <v>0</v>
      </c>
      <c r="J21">
        <v>5.75</v>
      </c>
      <c r="K21">
        <v>5.75</v>
      </c>
      <c r="L21">
        <v>5.75</v>
      </c>
      <c r="M21">
        <v>5.75</v>
      </c>
      <c r="N21">
        <v>5.75</v>
      </c>
      <c r="O21">
        <v>7</v>
      </c>
      <c r="P21">
        <v>102</v>
      </c>
      <c r="Q21" t="s">
        <v>74</v>
      </c>
      <c r="R21">
        <v>43</v>
      </c>
    </row>
    <row r="22" spans="1:22" hidden="1" x14ac:dyDescent="0.25">
      <c r="A22">
        <v>57</v>
      </c>
      <c r="B22" t="s">
        <v>24</v>
      </c>
      <c r="C22" t="s">
        <v>110</v>
      </c>
      <c r="D22" t="s">
        <v>97</v>
      </c>
      <c r="E22" t="s">
        <v>98</v>
      </c>
      <c r="F22" t="s">
        <v>99</v>
      </c>
      <c r="G22" t="s">
        <v>64</v>
      </c>
      <c r="H22" t="s">
        <v>64</v>
      </c>
      <c r="I22">
        <v>0</v>
      </c>
      <c r="J22">
        <v>0.75</v>
      </c>
      <c r="K22">
        <v>0.75</v>
      </c>
      <c r="L22">
        <v>0.75</v>
      </c>
      <c r="M22">
        <v>2</v>
      </c>
      <c r="N22">
        <v>2</v>
      </c>
      <c r="O22">
        <v>3</v>
      </c>
      <c r="P22">
        <v>98</v>
      </c>
      <c r="Q22" t="s">
        <v>8</v>
      </c>
      <c r="R22">
        <v>98</v>
      </c>
    </row>
    <row r="23" spans="1:22" hidden="1" x14ac:dyDescent="0.25">
      <c r="A23">
        <v>174</v>
      </c>
      <c r="B23" t="s">
        <v>19</v>
      </c>
      <c r="C23" t="s">
        <v>111</v>
      </c>
      <c r="D23" t="s">
        <v>72</v>
      </c>
      <c r="G23" t="s">
        <v>64</v>
      </c>
      <c r="H23" t="s">
        <v>64</v>
      </c>
      <c r="I23">
        <v>0</v>
      </c>
      <c r="J23">
        <v>24.81</v>
      </c>
      <c r="K23">
        <v>28</v>
      </c>
      <c r="L23">
        <v>28</v>
      </c>
      <c r="M23">
        <v>45</v>
      </c>
      <c r="N23">
        <v>45</v>
      </c>
      <c r="O23">
        <v>55</v>
      </c>
      <c r="P23">
        <v>93</v>
      </c>
      <c r="Q23" t="s">
        <v>8</v>
      </c>
      <c r="R23">
        <v>93</v>
      </c>
    </row>
    <row r="24" spans="1:22" hidden="1" x14ac:dyDescent="0.25">
      <c r="A24">
        <v>133</v>
      </c>
      <c r="B24" t="s">
        <v>18</v>
      </c>
      <c r="C24" t="s">
        <v>112</v>
      </c>
      <c r="D24" t="s">
        <v>90</v>
      </c>
      <c r="G24" t="s">
        <v>64</v>
      </c>
      <c r="H24" t="s">
        <v>64</v>
      </c>
      <c r="I24">
        <v>0</v>
      </c>
      <c r="J24">
        <v>5.75</v>
      </c>
      <c r="K24">
        <v>5.75</v>
      </c>
      <c r="L24">
        <v>5.75</v>
      </c>
      <c r="M24">
        <v>8</v>
      </c>
      <c r="N24">
        <v>8</v>
      </c>
      <c r="O24">
        <v>9</v>
      </c>
      <c r="P24">
        <v>92</v>
      </c>
      <c r="Q24" t="s">
        <v>74</v>
      </c>
      <c r="R24">
        <v>46</v>
      </c>
    </row>
    <row r="25" spans="1:22" hidden="1" x14ac:dyDescent="0.25">
      <c r="A25">
        <v>120</v>
      </c>
      <c r="B25" t="s">
        <v>16</v>
      </c>
      <c r="C25" t="s">
        <v>113</v>
      </c>
      <c r="D25" t="s">
        <v>97</v>
      </c>
      <c r="F25" t="s">
        <v>114</v>
      </c>
      <c r="G25" t="s">
        <v>64</v>
      </c>
      <c r="H25" t="s">
        <v>64</v>
      </c>
      <c r="I25">
        <v>0</v>
      </c>
      <c r="J25">
        <v>32</v>
      </c>
      <c r="K25">
        <v>32</v>
      </c>
      <c r="L25">
        <v>32</v>
      </c>
      <c r="M25">
        <v>45</v>
      </c>
      <c r="N25">
        <v>45</v>
      </c>
      <c r="O25">
        <v>80</v>
      </c>
      <c r="P25">
        <v>92</v>
      </c>
      <c r="Q25" t="s">
        <v>9</v>
      </c>
      <c r="R25">
        <v>64</v>
      </c>
      <c r="S25" t="s">
        <v>8</v>
      </c>
      <c r="T25">
        <v>18</v>
      </c>
      <c r="U25" t="s">
        <v>74</v>
      </c>
      <c r="V25">
        <v>7</v>
      </c>
    </row>
    <row r="26" spans="1:22" ht="163.9" customHeight="1" x14ac:dyDescent="0.25">
      <c r="A26">
        <v>222</v>
      </c>
      <c r="B26" t="s">
        <v>1</v>
      </c>
      <c r="C26" t="s">
        <v>115</v>
      </c>
      <c r="D26" t="s">
        <v>62</v>
      </c>
      <c r="F26" s="1" t="s">
        <v>116</v>
      </c>
      <c r="G26" t="s">
        <v>64</v>
      </c>
      <c r="H26" t="s">
        <v>64</v>
      </c>
      <c r="I26">
        <v>10.7</v>
      </c>
      <c r="J26">
        <v>4.82</v>
      </c>
      <c r="K26">
        <v>9.07</v>
      </c>
      <c r="L26">
        <v>9.07</v>
      </c>
      <c r="M26">
        <v>12</v>
      </c>
      <c r="N26">
        <v>14</v>
      </c>
      <c r="O26">
        <v>20</v>
      </c>
      <c r="P26">
        <v>91</v>
      </c>
      <c r="Q26" t="s">
        <v>5</v>
      </c>
      <c r="R26">
        <v>73</v>
      </c>
      <c r="S26" t="s">
        <v>4</v>
      </c>
      <c r="T26">
        <v>18</v>
      </c>
    </row>
    <row r="27" spans="1:22" hidden="1" x14ac:dyDescent="0.25">
      <c r="A27">
        <v>26</v>
      </c>
      <c r="B27" t="s">
        <v>18</v>
      </c>
      <c r="C27" t="s">
        <v>117</v>
      </c>
      <c r="D27" t="s">
        <v>90</v>
      </c>
      <c r="G27" t="s">
        <v>64</v>
      </c>
      <c r="H27" t="s">
        <v>64</v>
      </c>
      <c r="I27">
        <v>0</v>
      </c>
      <c r="J27">
        <v>5.66</v>
      </c>
      <c r="K27">
        <v>5.66</v>
      </c>
      <c r="L27">
        <v>5.66</v>
      </c>
      <c r="M27">
        <v>5.66</v>
      </c>
      <c r="N27">
        <v>5.66</v>
      </c>
      <c r="O27">
        <v>7</v>
      </c>
      <c r="P27">
        <v>90</v>
      </c>
      <c r="Q27" t="s">
        <v>74</v>
      </c>
      <c r="R27">
        <v>36</v>
      </c>
    </row>
    <row r="28" spans="1:22" hidden="1" x14ac:dyDescent="0.25">
      <c r="A28">
        <v>73</v>
      </c>
      <c r="B28" t="s">
        <v>18</v>
      </c>
      <c r="C28" t="s">
        <v>118</v>
      </c>
      <c r="D28" t="s">
        <v>90</v>
      </c>
      <c r="G28" t="s">
        <v>64</v>
      </c>
      <c r="H28" t="s">
        <v>64</v>
      </c>
      <c r="I28">
        <v>0</v>
      </c>
      <c r="J28">
        <v>11.5</v>
      </c>
      <c r="K28">
        <v>11.5</v>
      </c>
      <c r="L28">
        <v>11.5</v>
      </c>
      <c r="M28">
        <v>13</v>
      </c>
      <c r="N28">
        <v>11.5</v>
      </c>
      <c r="O28">
        <v>13</v>
      </c>
      <c r="P28">
        <v>88</v>
      </c>
      <c r="Q28" t="s">
        <v>74</v>
      </c>
      <c r="R28">
        <v>63</v>
      </c>
    </row>
    <row r="29" spans="1:22" hidden="1" x14ac:dyDescent="0.25">
      <c r="A29">
        <v>249</v>
      </c>
      <c r="B29" t="s">
        <v>22</v>
      </c>
      <c r="C29" t="s">
        <v>119</v>
      </c>
      <c r="D29" t="s">
        <v>86</v>
      </c>
      <c r="G29" t="s">
        <v>64</v>
      </c>
      <c r="H29" t="s">
        <v>64</v>
      </c>
      <c r="I29">
        <v>0</v>
      </c>
      <c r="J29">
        <v>0</v>
      </c>
      <c r="K29">
        <v>0</v>
      </c>
      <c r="L29">
        <v>0</v>
      </c>
      <c r="M29">
        <v>4</v>
      </c>
      <c r="N29">
        <v>4</v>
      </c>
      <c r="O29">
        <v>5</v>
      </c>
      <c r="P29">
        <v>88</v>
      </c>
      <c r="Q29" t="s">
        <v>120</v>
      </c>
      <c r="R29">
        <v>83</v>
      </c>
      <c r="S29" t="s">
        <v>74</v>
      </c>
      <c r="T29">
        <v>1</v>
      </c>
      <c r="U29" t="s">
        <v>5</v>
      </c>
      <c r="V29">
        <v>1</v>
      </c>
    </row>
    <row r="30" spans="1:22" hidden="1" x14ac:dyDescent="0.25">
      <c r="A30">
        <v>138</v>
      </c>
      <c r="B30" t="s">
        <v>18</v>
      </c>
      <c r="C30" t="s">
        <v>121</v>
      </c>
      <c r="D30" t="s">
        <v>90</v>
      </c>
      <c r="G30" t="s">
        <v>88</v>
      </c>
      <c r="H30" t="s">
        <v>88</v>
      </c>
      <c r="I30">
        <v>0</v>
      </c>
      <c r="J30">
        <v>2.4500000000000002</v>
      </c>
      <c r="K30">
        <v>2.4500000000000002</v>
      </c>
      <c r="L30">
        <v>2.4500000000000002</v>
      </c>
      <c r="M30">
        <v>3</v>
      </c>
      <c r="N30">
        <v>3</v>
      </c>
      <c r="O30">
        <v>5</v>
      </c>
      <c r="P30">
        <v>78</v>
      </c>
      <c r="Q30" t="s">
        <v>74</v>
      </c>
      <c r="R30">
        <v>78</v>
      </c>
    </row>
    <row r="31" spans="1:22" hidden="1" x14ac:dyDescent="0.25">
      <c r="A31">
        <v>121</v>
      </c>
      <c r="B31" t="s">
        <v>16</v>
      </c>
      <c r="C31" t="s">
        <v>122</v>
      </c>
      <c r="D31" t="s">
        <v>97</v>
      </c>
      <c r="F31" t="s">
        <v>123</v>
      </c>
      <c r="G31" t="s">
        <v>64</v>
      </c>
      <c r="H31" t="s">
        <v>64</v>
      </c>
      <c r="I31">
        <v>0</v>
      </c>
      <c r="J31">
        <v>12</v>
      </c>
      <c r="K31">
        <v>15</v>
      </c>
      <c r="L31">
        <v>15</v>
      </c>
      <c r="M31">
        <v>30</v>
      </c>
      <c r="N31">
        <v>40</v>
      </c>
      <c r="O31">
        <v>40</v>
      </c>
      <c r="P31">
        <v>64</v>
      </c>
      <c r="Q31" t="s">
        <v>9</v>
      </c>
      <c r="R31">
        <v>39</v>
      </c>
      <c r="S31" t="s">
        <v>8</v>
      </c>
      <c r="T31">
        <v>19</v>
      </c>
      <c r="U31" t="s">
        <v>74</v>
      </c>
      <c r="V31">
        <v>4</v>
      </c>
    </row>
    <row r="32" spans="1:22" ht="97.9" customHeight="1" x14ac:dyDescent="0.25">
      <c r="A32">
        <v>243</v>
      </c>
      <c r="B32" t="s">
        <v>1</v>
      </c>
      <c r="C32" t="s">
        <v>124</v>
      </c>
      <c r="D32" t="s">
        <v>62</v>
      </c>
      <c r="F32" s="1" t="s">
        <v>125</v>
      </c>
      <c r="G32" t="s">
        <v>88</v>
      </c>
      <c r="H32" t="s">
        <v>88</v>
      </c>
      <c r="I32">
        <v>5.74</v>
      </c>
      <c r="J32">
        <v>4.3899999999999997</v>
      </c>
      <c r="K32">
        <v>4.5</v>
      </c>
      <c r="L32">
        <v>4.5</v>
      </c>
      <c r="M32">
        <v>9</v>
      </c>
      <c r="N32">
        <v>9</v>
      </c>
      <c r="O32">
        <v>17</v>
      </c>
      <c r="P32">
        <v>53</v>
      </c>
      <c r="Q32" t="s">
        <v>5</v>
      </c>
      <c r="R32">
        <v>50</v>
      </c>
      <c r="S32" t="s">
        <v>4</v>
      </c>
      <c r="T32">
        <v>3</v>
      </c>
    </row>
    <row r="33" spans="1:24" hidden="1" x14ac:dyDescent="0.25">
      <c r="A33">
        <v>78</v>
      </c>
      <c r="B33" t="s">
        <v>16</v>
      </c>
      <c r="C33" t="s">
        <v>126</v>
      </c>
      <c r="D33" t="s">
        <v>72</v>
      </c>
      <c r="G33" t="s">
        <v>88</v>
      </c>
      <c r="H33" t="s">
        <v>64</v>
      </c>
      <c r="I33">
        <v>0</v>
      </c>
      <c r="J33">
        <v>15</v>
      </c>
      <c r="K33">
        <v>15</v>
      </c>
      <c r="L33">
        <v>15</v>
      </c>
      <c r="M33">
        <v>15</v>
      </c>
      <c r="N33">
        <v>15</v>
      </c>
      <c r="O33">
        <v>15</v>
      </c>
      <c r="P33">
        <v>53</v>
      </c>
      <c r="Q33" t="s">
        <v>7</v>
      </c>
      <c r="R33">
        <v>51</v>
      </c>
      <c r="S33" t="s">
        <v>80</v>
      </c>
      <c r="T33">
        <v>2</v>
      </c>
    </row>
    <row r="34" spans="1:24" hidden="1" x14ac:dyDescent="0.25">
      <c r="A34">
        <v>127</v>
      </c>
      <c r="B34" t="s">
        <v>16</v>
      </c>
      <c r="C34" t="s">
        <v>127</v>
      </c>
      <c r="D34" t="s">
        <v>72</v>
      </c>
      <c r="G34" t="s">
        <v>88</v>
      </c>
      <c r="H34" t="s">
        <v>64</v>
      </c>
      <c r="I34">
        <v>0</v>
      </c>
      <c r="J34">
        <v>15</v>
      </c>
      <c r="K34">
        <v>15</v>
      </c>
      <c r="L34">
        <v>15</v>
      </c>
      <c r="M34">
        <v>15</v>
      </c>
      <c r="N34">
        <v>15</v>
      </c>
      <c r="O34">
        <v>30</v>
      </c>
      <c r="P34">
        <v>52</v>
      </c>
      <c r="Q34" t="s">
        <v>8</v>
      </c>
      <c r="R34">
        <v>48</v>
      </c>
      <c r="S34" t="s">
        <v>7</v>
      </c>
      <c r="T34">
        <v>2</v>
      </c>
      <c r="U34" t="s">
        <v>9</v>
      </c>
      <c r="V34">
        <v>1</v>
      </c>
      <c r="W34" t="s">
        <v>82</v>
      </c>
      <c r="X34">
        <v>1</v>
      </c>
    </row>
    <row r="35" spans="1:24" ht="409.5" hidden="1" x14ac:dyDescent="0.25">
      <c r="A35">
        <v>118</v>
      </c>
      <c r="B35" t="s">
        <v>20</v>
      </c>
      <c r="C35" t="s">
        <v>128</v>
      </c>
      <c r="D35" t="s">
        <v>86</v>
      </c>
      <c r="F35" s="1" t="s">
        <v>129</v>
      </c>
      <c r="G35" t="s">
        <v>64</v>
      </c>
      <c r="H35" t="s">
        <v>64</v>
      </c>
      <c r="I35">
        <v>0</v>
      </c>
      <c r="J35">
        <v>20</v>
      </c>
      <c r="K35">
        <v>12</v>
      </c>
      <c r="L35">
        <v>12</v>
      </c>
      <c r="M35">
        <v>20</v>
      </c>
      <c r="N35">
        <v>20</v>
      </c>
      <c r="O35">
        <v>40</v>
      </c>
      <c r="P35">
        <v>52</v>
      </c>
      <c r="Q35" t="s">
        <v>74</v>
      </c>
      <c r="R35">
        <v>25</v>
      </c>
    </row>
    <row r="36" spans="1:24" hidden="1" x14ac:dyDescent="0.25">
      <c r="A36">
        <v>87</v>
      </c>
      <c r="B36" t="s">
        <v>16</v>
      </c>
      <c r="C36" t="s">
        <v>130</v>
      </c>
      <c r="D36" t="s">
        <v>97</v>
      </c>
      <c r="G36" t="s">
        <v>88</v>
      </c>
      <c r="H36" t="s">
        <v>88</v>
      </c>
      <c r="I36">
        <v>32</v>
      </c>
      <c r="J36">
        <v>32</v>
      </c>
      <c r="K36">
        <v>32</v>
      </c>
      <c r="L36">
        <v>32</v>
      </c>
      <c r="M36">
        <v>45</v>
      </c>
      <c r="N36">
        <v>45</v>
      </c>
      <c r="O36">
        <v>80</v>
      </c>
      <c r="P36">
        <v>48</v>
      </c>
      <c r="Q36" t="s">
        <v>75</v>
      </c>
      <c r="R36">
        <v>48</v>
      </c>
    </row>
    <row r="37" spans="1:24" x14ac:dyDescent="0.25">
      <c r="A37">
        <v>179</v>
      </c>
      <c r="B37" t="s">
        <v>1</v>
      </c>
      <c r="C37" t="s">
        <v>131</v>
      </c>
      <c r="D37" t="s">
        <v>62</v>
      </c>
      <c r="F37" t="s">
        <v>132</v>
      </c>
      <c r="G37" t="s">
        <v>88</v>
      </c>
      <c r="H37" t="s">
        <v>88</v>
      </c>
      <c r="I37">
        <v>0</v>
      </c>
      <c r="J37">
        <v>8.33</v>
      </c>
      <c r="K37">
        <v>0</v>
      </c>
      <c r="L37">
        <v>0</v>
      </c>
      <c r="M37">
        <v>0</v>
      </c>
      <c r="N37">
        <v>0</v>
      </c>
      <c r="O37">
        <v>0</v>
      </c>
      <c r="P37">
        <v>41</v>
      </c>
      <c r="Q37" t="s">
        <v>5</v>
      </c>
      <c r="R37">
        <v>25</v>
      </c>
      <c r="S37" t="s">
        <v>4</v>
      </c>
      <c r="T37">
        <v>16</v>
      </c>
    </row>
    <row r="38" spans="1:24" hidden="1" x14ac:dyDescent="0.25">
      <c r="A38">
        <v>68</v>
      </c>
      <c r="B38" t="s">
        <v>17</v>
      </c>
      <c r="C38" t="s">
        <v>133</v>
      </c>
      <c r="D38" t="s">
        <v>86</v>
      </c>
      <c r="F38" t="s">
        <v>134</v>
      </c>
      <c r="G38" t="s">
        <v>88</v>
      </c>
      <c r="H38" t="s">
        <v>88</v>
      </c>
      <c r="I38">
        <v>0</v>
      </c>
      <c r="J38">
        <v>35.42</v>
      </c>
      <c r="K38">
        <v>0</v>
      </c>
      <c r="L38">
        <v>0</v>
      </c>
      <c r="M38">
        <v>0</v>
      </c>
      <c r="N38">
        <v>0</v>
      </c>
      <c r="O38">
        <v>0</v>
      </c>
      <c r="P38">
        <v>33</v>
      </c>
      <c r="Q38" t="s">
        <v>74</v>
      </c>
      <c r="R38">
        <v>1</v>
      </c>
    </row>
    <row r="39" spans="1:24" ht="240" x14ac:dyDescent="0.25">
      <c r="A39">
        <v>240</v>
      </c>
      <c r="B39" t="s">
        <v>1</v>
      </c>
      <c r="C39" t="s">
        <v>135</v>
      </c>
      <c r="D39" t="s">
        <v>62</v>
      </c>
      <c r="F39" s="1" t="s">
        <v>136</v>
      </c>
      <c r="G39" t="s">
        <v>64</v>
      </c>
      <c r="H39" t="s">
        <v>64</v>
      </c>
      <c r="I39">
        <v>13.18</v>
      </c>
      <c r="J39">
        <v>5.27</v>
      </c>
      <c r="K39">
        <v>12</v>
      </c>
      <c r="L39">
        <v>12</v>
      </c>
      <c r="M39">
        <v>16</v>
      </c>
      <c r="N39">
        <v>20</v>
      </c>
      <c r="O39">
        <v>30</v>
      </c>
      <c r="P39">
        <v>32</v>
      </c>
      <c r="Q39" t="s">
        <v>5</v>
      </c>
      <c r="R39">
        <v>26</v>
      </c>
      <c r="S39" t="s">
        <v>4</v>
      </c>
      <c r="T39">
        <v>6</v>
      </c>
    </row>
    <row r="40" spans="1:24" hidden="1" x14ac:dyDescent="0.25">
      <c r="A40">
        <v>248</v>
      </c>
      <c r="B40" t="s">
        <v>22</v>
      </c>
      <c r="C40" t="s">
        <v>137</v>
      </c>
      <c r="D40" t="s">
        <v>86</v>
      </c>
      <c r="G40" t="s">
        <v>64</v>
      </c>
      <c r="H40" t="s">
        <v>64</v>
      </c>
      <c r="I40">
        <v>0</v>
      </c>
      <c r="J40">
        <v>3</v>
      </c>
      <c r="K40">
        <v>3</v>
      </c>
      <c r="L40">
        <v>3</v>
      </c>
      <c r="M40">
        <v>4</v>
      </c>
      <c r="N40">
        <v>4</v>
      </c>
      <c r="O40">
        <v>5</v>
      </c>
      <c r="P40">
        <v>30</v>
      </c>
      <c r="Q40" t="s">
        <v>5</v>
      </c>
      <c r="R40">
        <v>28</v>
      </c>
      <c r="S40" t="s">
        <v>4</v>
      </c>
      <c r="T40">
        <v>2</v>
      </c>
    </row>
    <row r="41" spans="1:24" x14ac:dyDescent="0.25">
      <c r="A41">
        <v>180</v>
      </c>
      <c r="B41" t="s">
        <v>1</v>
      </c>
      <c r="C41" t="s">
        <v>138</v>
      </c>
      <c r="D41" t="s">
        <v>62</v>
      </c>
      <c r="F41" t="s">
        <v>139</v>
      </c>
      <c r="G41" t="s">
        <v>88</v>
      </c>
      <c r="H41" t="s">
        <v>88</v>
      </c>
      <c r="I41">
        <v>0</v>
      </c>
      <c r="J41">
        <v>18.899999999999999</v>
      </c>
      <c r="K41">
        <v>0</v>
      </c>
      <c r="L41">
        <v>0</v>
      </c>
      <c r="M41">
        <v>0</v>
      </c>
      <c r="N41">
        <v>0</v>
      </c>
      <c r="O41">
        <v>0</v>
      </c>
      <c r="P41">
        <v>27</v>
      </c>
      <c r="Q41" t="s">
        <v>5</v>
      </c>
      <c r="R41">
        <v>27</v>
      </c>
    </row>
    <row r="42" spans="1:24" hidden="1" x14ac:dyDescent="0.25">
      <c r="A42">
        <v>190</v>
      </c>
      <c r="B42" t="s">
        <v>21</v>
      </c>
      <c r="C42" t="s">
        <v>140</v>
      </c>
      <c r="D42" t="s">
        <v>62</v>
      </c>
      <c r="G42" t="s">
        <v>88</v>
      </c>
      <c r="H42" t="s">
        <v>88</v>
      </c>
      <c r="I42">
        <v>0</v>
      </c>
      <c r="J42">
        <v>8.33</v>
      </c>
      <c r="K42">
        <v>0</v>
      </c>
      <c r="L42">
        <v>0</v>
      </c>
      <c r="M42">
        <v>0</v>
      </c>
      <c r="N42">
        <v>0</v>
      </c>
      <c r="O42">
        <v>0</v>
      </c>
      <c r="P42">
        <v>25</v>
      </c>
      <c r="Q42" t="s">
        <v>4</v>
      </c>
      <c r="R42">
        <v>21</v>
      </c>
      <c r="S42" t="s">
        <v>5</v>
      </c>
      <c r="T42">
        <v>4</v>
      </c>
    </row>
    <row r="43" spans="1:24" hidden="1" x14ac:dyDescent="0.25">
      <c r="A43">
        <v>74</v>
      </c>
      <c r="B43" t="s">
        <v>18</v>
      </c>
      <c r="C43" t="s">
        <v>141</v>
      </c>
      <c r="D43" t="s">
        <v>90</v>
      </c>
      <c r="G43" t="s">
        <v>64</v>
      </c>
      <c r="H43" t="s">
        <v>64</v>
      </c>
      <c r="I43">
        <v>0</v>
      </c>
      <c r="J43">
        <v>3.77</v>
      </c>
      <c r="K43">
        <v>3.77</v>
      </c>
      <c r="L43">
        <v>3.77</v>
      </c>
      <c r="M43">
        <v>3.77</v>
      </c>
      <c r="N43">
        <v>3.77</v>
      </c>
      <c r="O43">
        <v>5</v>
      </c>
      <c r="P43">
        <v>22</v>
      </c>
      <c r="Q43" t="s">
        <v>74</v>
      </c>
      <c r="R43">
        <v>18</v>
      </c>
    </row>
    <row r="44" spans="1:24" hidden="1" x14ac:dyDescent="0.25">
      <c r="A44">
        <v>93</v>
      </c>
      <c r="B44" t="s">
        <v>16</v>
      </c>
      <c r="C44" t="s">
        <v>142</v>
      </c>
      <c r="D44" t="s">
        <v>97</v>
      </c>
      <c r="F44" t="s">
        <v>123</v>
      </c>
      <c r="G44" t="s">
        <v>88</v>
      </c>
      <c r="H44" t="s">
        <v>64</v>
      </c>
      <c r="I44">
        <v>0</v>
      </c>
      <c r="J44">
        <v>15</v>
      </c>
      <c r="K44">
        <v>15</v>
      </c>
      <c r="L44">
        <v>15</v>
      </c>
      <c r="M44">
        <v>40</v>
      </c>
      <c r="N44">
        <v>40</v>
      </c>
      <c r="O44">
        <v>40</v>
      </c>
      <c r="P44">
        <v>21</v>
      </c>
      <c r="Q44" t="s">
        <v>7</v>
      </c>
      <c r="R44">
        <v>21</v>
      </c>
    </row>
    <row r="45" spans="1:24" hidden="1" x14ac:dyDescent="0.25">
      <c r="A45">
        <v>69</v>
      </c>
      <c r="B45" t="s">
        <v>17</v>
      </c>
      <c r="C45" t="s">
        <v>143</v>
      </c>
      <c r="D45" t="s">
        <v>86</v>
      </c>
      <c r="F45" t="s">
        <v>144</v>
      </c>
      <c r="G45" t="s">
        <v>64</v>
      </c>
      <c r="H45" t="s">
        <v>64</v>
      </c>
      <c r="I45">
        <v>0</v>
      </c>
      <c r="J45">
        <v>41.67</v>
      </c>
      <c r="K45">
        <v>0</v>
      </c>
      <c r="L45">
        <v>0</v>
      </c>
      <c r="M45">
        <v>0</v>
      </c>
      <c r="N45">
        <v>0</v>
      </c>
      <c r="O45">
        <v>0</v>
      </c>
      <c r="P45">
        <v>20</v>
      </c>
      <c r="Q45" t="s">
        <v>74</v>
      </c>
      <c r="R45">
        <v>20</v>
      </c>
    </row>
    <row r="46" spans="1:24" hidden="1" x14ac:dyDescent="0.25">
      <c r="A46">
        <v>184</v>
      </c>
      <c r="B46" t="s">
        <v>16</v>
      </c>
      <c r="C46" t="s">
        <v>145</v>
      </c>
      <c r="D46" t="s">
        <v>97</v>
      </c>
      <c r="G46" t="s">
        <v>64</v>
      </c>
      <c r="H46" t="s">
        <v>64</v>
      </c>
      <c r="I46">
        <v>0</v>
      </c>
      <c r="J46">
        <v>39</v>
      </c>
      <c r="K46">
        <v>39</v>
      </c>
      <c r="L46">
        <v>39</v>
      </c>
      <c r="M46">
        <v>50</v>
      </c>
      <c r="N46">
        <v>50</v>
      </c>
      <c r="O46">
        <v>80</v>
      </c>
      <c r="P46">
        <v>19</v>
      </c>
      <c r="Q46" t="s">
        <v>75</v>
      </c>
      <c r="R46">
        <v>19</v>
      </c>
    </row>
    <row r="47" spans="1:24" hidden="1" x14ac:dyDescent="0.25">
      <c r="A47">
        <v>167</v>
      </c>
      <c r="B47" t="s">
        <v>18</v>
      </c>
      <c r="C47" t="s">
        <v>146</v>
      </c>
      <c r="D47" t="s">
        <v>90</v>
      </c>
      <c r="G47" t="s">
        <v>64</v>
      </c>
      <c r="H47" t="s">
        <v>64</v>
      </c>
      <c r="I47">
        <v>0</v>
      </c>
      <c r="J47">
        <v>9.8000000000000007</v>
      </c>
      <c r="K47">
        <v>9.8000000000000007</v>
      </c>
      <c r="L47">
        <v>9.8000000000000007</v>
      </c>
      <c r="M47">
        <v>9.8000000000000007</v>
      </c>
      <c r="N47">
        <v>9.8000000000000007</v>
      </c>
      <c r="O47">
        <v>12</v>
      </c>
      <c r="P47">
        <v>18</v>
      </c>
      <c r="Q47" t="s">
        <v>74</v>
      </c>
      <c r="R47">
        <v>18</v>
      </c>
    </row>
    <row r="48" spans="1:24" x14ac:dyDescent="0.25">
      <c r="A48">
        <v>172</v>
      </c>
      <c r="B48" t="s">
        <v>1</v>
      </c>
      <c r="C48" t="s">
        <v>147</v>
      </c>
      <c r="D48" t="s">
        <v>62</v>
      </c>
      <c r="F48" t="s">
        <v>103</v>
      </c>
      <c r="G48" t="s">
        <v>64</v>
      </c>
      <c r="H48" t="s">
        <v>64</v>
      </c>
      <c r="I48">
        <v>0</v>
      </c>
      <c r="J48">
        <v>8.6199999999999992</v>
      </c>
      <c r="K48">
        <v>13.4</v>
      </c>
      <c r="L48">
        <v>13.4</v>
      </c>
      <c r="M48">
        <v>14</v>
      </c>
      <c r="N48">
        <v>16.8</v>
      </c>
      <c r="O48">
        <v>25</v>
      </c>
      <c r="P48">
        <v>17</v>
      </c>
      <c r="Q48" t="s">
        <v>11</v>
      </c>
      <c r="R48">
        <v>17</v>
      </c>
    </row>
    <row r="49" spans="1:22" hidden="1" x14ac:dyDescent="0.25">
      <c r="A49">
        <v>227</v>
      </c>
      <c r="B49" t="s">
        <v>21</v>
      </c>
      <c r="C49" t="s">
        <v>148</v>
      </c>
      <c r="D49" t="s">
        <v>62</v>
      </c>
      <c r="G49" t="s">
        <v>64</v>
      </c>
      <c r="H49" t="s">
        <v>64</v>
      </c>
      <c r="I49">
        <v>8.2200000000000006</v>
      </c>
      <c r="J49">
        <v>4.6900000000000004</v>
      </c>
      <c r="K49">
        <v>6</v>
      </c>
      <c r="L49">
        <v>6</v>
      </c>
      <c r="M49">
        <v>10</v>
      </c>
      <c r="N49">
        <v>12</v>
      </c>
      <c r="O49">
        <v>15</v>
      </c>
      <c r="P49">
        <v>17</v>
      </c>
      <c r="Q49" t="s">
        <v>5</v>
      </c>
      <c r="R49">
        <v>17</v>
      </c>
    </row>
    <row r="50" spans="1:22" hidden="1" x14ac:dyDescent="0.25">
      <c r="A50">
        <v>84</v>
      </c>
      <c r="B50" t="s">
        <v>16</v>
      </c>
      <c r="C50" t="s">
        <v>149</v>
      </c>
      <c r="D50" t="s">
        <v>97</v>
      </c>
      <c r="F50" t="s">
        <v>114</v>
      </c>
      <c r="G50" t="s">
        <v>88</v>
      </c>
      <c r="H50" t="s">
        <v>64</v>
      </c>
      <c r="I50">
        <v>0</v>
      </c>
      <c r="J50">
        <v>50</v>
      </c>
      <c r="K50">
        <v>28</v>
      </c>
      <c r="L50">
        <v>28</v>
      </c>
      <c r="M50">
        <v>50</v>
      </c>
      <c r="N50">
        <v>50</v>
      </c>
      <c r="O50">
        <v>60</v>
      </c>
      <c r="P50">
        <v>17</v>
      </c>
      <c r="Q50" t="s">
        <v>7</v>
      </c>
      <c r="R50">
        <v>16</v>
      </c>
      <c r="S50" t="s">
        <v>74</v>
      </c>
      <c r="T50">
        <v>1</v>
      </c>
    </row>
    <row r="51" spans="1:22" x14ac:dyDescent="0.25">
      <c r="A51">
        <v>173</v>
      </c>
      <c r="B51" t="s">
        <v>1</v>
      </c>
      <c r="C51" t="s">
        <v>150</v>
      </c>
      <c r="D51" t="s">
        <v>62</v>
      </c>
      <c r="F51" t="s">
        <v>103</v>
      </c>
      <c r="G51" t="s">
        <v>64</v>
      </c>
      <c r="H51" t="s">
        <v>64</v>
      </c>
      <c r="I51">
        <v>0</v>
      </c>
      <c r="J51">
        <v>8.0399999999999991</v>
      </c>
      <c r="K51">
        <v>9.01</v>
      </c>
      <c r="L51">
        <v>9.01</v>
      </c>
      <c r="M51">
        <v>12</v>
      </c>
      <c r="N51">
        <v>18.02</v>
      </c>
      <c r="O51">
        <v>20</v>
      </c>
      <c r="P51">
        <v>16</v>
      </c>
      <c r="Q51" t="s">
        <v>11</v>
      </c>
      <c r="R51">
        <v>16</v>
      </c>
    </row>
    <row r="52" spans="1:22" x14ac:dyDescent="0.25">
      <c r="A52">
        <v>208</v>
      </c>
      <c r="B52" t="s">
        <v>1</v>
      </c>
      <c r="C52" t="s">
        <v>151</v>
      </c>
      <c r="D52" t="s">
        <v>86</v>
      </c>
      <c r="G52" t="s">
        <v>88</v>
      </c>
      <c r="H52" t="s">
        <v>64</v>
      </c>
      <c r="I52">
        <v>30</v>
      </c>
      <c r="J52">
        <v>30</v>
      </c>
      <c r="K52">
        <v>30</v>
      </c>
      <c r="L52">
        <v>30</v>
      </c>
      <c r="M52">
        <v>30</v>
      </c>
      <c r="N52">
        <v>30</v>
      </c>
      <c r="O52">
        <v>60</v>
      </c>
      <c r="P52">
        <v>14</v>
      </c>
      <c r="Q52" t="s">
        <v>5</v>
      </c>
      <c r="R52">
        <v>11</v>
      </c>
      <c r="S52" t="s">
        <v>4</v>
      </c>
      <c r="T52">
        <v>3</v>
      </c>
    </row>
    <row r="53" spans="1:22" ht="270" x14ac:dyDescent="0.25">
      <c r="A53">
        <v>224</v>
      </c>
      <c r="B53" t="s">
        <v>1</v>
      </c>
      <c r="C53" t="s">
        <v>152</v>
      </c>
      <c r="D53" t="s">
        <v>62</v>
      </c>
      <c r="F53" s="1" t="s">
        <v>153</v>
      </c>
      <c r="G53" t="s">
        <v>88</v>
      </c>
      <c r="H53" t="s">
        <v>88</v>
      </c>
      <c r="I53">
        <v>0</v>
      </c>
      <c r="J53">
        <v>8.25</v>
      </c>
      <c r="K53">
        <v>12</v>
      </c>
      <c r="L53">
        <v>0</v>
      </c>
      <c r="M53">
        <v>0</v>
      </c>
      <c r="N53">
        <v>0</v>
      </c>
      <c r="O53">
        <v>0</v>
      </c>
      <c r="P53">
        <v>13</v>
      </c>
      <c r="Q53" t="s">
        <v>5</v>
      </c>
      <c r="R53">
        <v>12</v>
      </c>
      <c r="S53" t="s">
        <v>4</v>
      </c>
      <c r="T53">
        <v>1</v>
      </c>
    </row>
    <row r="54" spans="1:22" hidden="1" x14ac:dyDescent="0.25">
      <c r="A54">
        <v>30</v>
      </c>
      <c r="B54" t="s">
        <v>16</v>
      </c>
      <c r="C54" t="s">
        <v>154</v>
      </c>
      <c r="D54" t="s">
        <v>97</v>
      </c>
      <c r="G54" t="s">
        <v>88</v>
      </c>
      <c r="H54" t="s">
        <v>64</v>
      </c>
      <c r="I54">
        <v>0</v>
      </c>
      <c r="J54">
        <v>23</v>
      </c>
      <c r="K54">
        <v>23</v>
      </c>
      <c r="L54">
        <v>23</v>
      </c>
      <c r="M54">
        <v>40</v>
      </c>
      <c r="N54">
        <v>40</v>
      </c>
      <c r="O54">
        <v>60</v>
      </c>
      <c r="P54">
        <v>12</v>
      </c>
      <c r="Q54" t="s">
        <v>75</v>
      </c>
      <c r="R54">
        <v>12</v>
      </c>
    </row>
    <row r="55" spans="1:22" hidden="1" x14ac:dyDescent="0.25">
      <c r="A55">
        <v>116</v>
      </c>
      <c r="B55" t="s">
        <v>23</v>
      </c>
      <c r="C55" t="s">
        <v>155</v>
      </c>
      <c r="D55" t="s">
        <v>156</v>
      </c>
      <c r="F55" t="s">
        <v>157</v>
      </c>
      <c r="G55" t="s">
        <v>64</v>
      </c>
      <c r="H55" t="s">
        <v>64</v>
      </c>
      <c r="I55">
        <v>0</v>
      </c>
      <c r="J55">
        <v>90</v>
      </c>
      <c r="K55">
        <v>90</v>
      </c>
      <c r="L55">
        <v>90</v>
      </c>
      <c r="M55">
        <v>150</v>
      </c>
      <c r="N55">
        <v>150</v>
      </c>
      <c r="O55">
        <v>200</v>
      </c>
      <c r="P55">
        <v>11</v>
      </c>
      <c r="Q55" t="s">
        <v>74</v>
      </c>
      <c r="R55">
        <v>11</v>
      </c>
    </row>
    <row r="56" spans="1:22" x14ac:dyDescent="0.25">
      <c r="A56">
        <v>194</v>
      </c>
      <c r="B56" t="s">
        <v>1</v>
      </c>
      <c r="C56" t="s">
        <v>158</v>
      </c>
      <c r="D56" t="s">
        <v>62</v>
      </c>
      <c r="G56" t="s">
        <v>88</v>
      </c>
      <c r="H56" t="s">
        <v>88</v>
      </c>
      <c r="I56">
        <v>5.76</v>
      </c>
      <c r="J56">
        <v>5.76</v>
      </c>
      <c r="K56">
        <v>5.76</v>
      </c>
      <c r="L56">
        <v>5.76</v>
      </c>
      <c r="M56">
        <v>12</v>
      </c>
      <c r="N56">
        <v>12</v>
      </c>
      <c r="O56">
        <v>15</v>
      </c>
      <c r="P56">
        <v>10</v>
      </c>
      <c r="Q56" t="s">
        <v>7</v>
      </c>
      <c r="R56">
        <v>10</v>
      </c>
    </row>
    <row r="57" spans="1:22" hidden="1" x14ac:dyDescent="0.25">
      <c r="A57">
        <v>115</v>
      </c>
      <c r="B57" t="s">
        <v>23</v>
      </c>
      <c r="C57" t="s">
        <v>159</v>
      </c>
      <c r="D57" t="s">
        <v>156</v>
      </c>
      <c r="F57" t="s">
        <v>157</v>
      </c>
      <c r="G57" t="s">
        <v>88</v>
      </c>
      <c r="H57" t="s">
        <v>64</v>
      </c>
      <c r="I57">
        <v>0</v>
      </c>
      <c r="J57">
        <v>75</v>
      </c>
      <c r="K57">
        <v>78</v>
      </c>
      <c r="L57">
        <v>78</v>
      </c>
      <c r="M57">
        <v>120</v>
      </c>
      <c r="N57">
        <v>120</v>
      </c>
      <c r="O57">
        <v>120</v>
      </c>
      <c r="P57">
        <v>10</v>
      </c>
      <c r="Q57" t="s">
        <v>74</v>
      </c>
      <c r="R57">
        <v>10</v>
      </c>
    </row>
    <row r="58" spans="1:22" hidden="1" x14ac:dyDescent="0.25">
      <c r="A58">
        <v>246</v>
      </c>
      <c r="B58" t="s">
        <v>21</v>
      </c>
      <c r="C58" t="s">
        <v>160</v>
      </c>
      <c r="D58" t="s">
        <v>62</v>
      </c>
      <c r="G58" t="s">
        <v>64</v>
      </c>
      <c r="H58" t="s">
        <v>64</v>
      </c>
      <c r="I58">
        <v>13.18</v>
      </c>
      <c r="J58">
        <v>5.27</v>
      </c>
      <c r="K58">
        <v>5.27</v>
      </c>
      <c r="L58">
        <v>12</v>
      </c>
      <c r="M58">
        <v>16</v>
      </c>
      <c r="N58">
        <v>20</v>
      </c>
      <c r="O58">
        <v>30</v>
      </c>
      <c r="P58">
        <v>9</v>
      </c>
      <c r="Q58" t="s">
        <v>5</v>
      </c>
      <c r="R58">
        <v>8</v>
      </c>
      <c r="S58" t="s">
        <v>4</v>
      </c>
      <c r="T58">
        <v>1</v>
      </c>
    </row>
    <row r="59" spans="1:22" hidden="1" x14ac:dyDescent="0.25">
      <c r="A59">
        <v>145</v>
      </c>
      <c r="B59" t="s">
        <v>18</v>
      </c>
      <c r="C59" t="s">
        <v>161</v>
      </c>
      <c r="D59" t="s">
        <v>90</v>
      </c>
      <c r="G59" t="s">
        <v>64</v>
      </c>
      <c r="H59" t="s">
        <v>64</v>
      </c>
      <c r="I59">
        <v>0</v>
      </c>
      <c r="J59">
        <v>7.5</v>
      </c>
      <c r="K59">
        <v>7.5</v>
      </c>
      <c r="L59">
        <v>7.5</v>
      </c>
      <c r="M59">
        <v>7.5</v>
      </c>
      <c r="N59">
        <v>7.5</v>
      </c>
      <c r="O59">
        <v>9</v>
      </c>
      <c r="P59">
        <v>8</v>
      </c>
      <c r="Q59" t="s">
        <v>74</v>
      </c>
      <c r="R59">
        <v>2</v>
      </c>
    </row>
    <row r="60" spans="1:22" x14ac:dyDescent="0.25">
      <c r="A60">
        <v>99</v>
      </c>
      <c r="B60" t="s">
        <v>1</v>
      </c>
      <c r="C60" t="s">
        <v>162</v>
      </c>
      <c r="D60" t="s">
        <v>62</v>
      </c>
      <c r="F60" t="s">
        <v>163</v>
      </c>
      <c r="G60" t="s">
        <v>88</v>
      </c>
      <c r="H60" t="s">
        <v>88</v>
      </c>
      <c r="I60">
        <v>0</v>
      </c>
      <c r="J60">
        <v>13.4</v>
      </c>
      <c r="K60">
        <v>0</v>
      </c>
      <c r="L60">
        <v>0</v>
      </c>
      <c r="M60">
        <v>0</v>
      </c>
      <c r="N60">
        <v>0</v>
      </c>
      <c r="O60">
        <v>0</v>
      </c>
      <c r="P60">
        <v>7</v>
      </c>
      <c r="Q60" t="s">
        <v>11</v>
      </c>
      <c r="R60">
        <v>7</v>
      </c>
    </row>
    <row r="61" spans="1:22" hidden="1" x14ac:dyDescent="0.25">
      <c r="A61">
        <v>119</v>
      </c>
      <c r="B61" t="s">
        <v>16</v>
      </c>
      <c r="C61" t="s">
        <v>164</v>
      </c>
      <c r="D61" t="s">
        <v>72</v>
      </c>
      <c r="G61" t="s">
        <v>88</v>
      </c>
      <c r="H61" t="s">
        <v>64</v>
      </c>
      <c r="I61">
        <v>32</v>
      </c>
      <c r="J61">
        <v>32</v>
      </c>
      <c r="K61">
        <v>32</v>
      </c>
      <c r="L61">
        <v>32</v>
      </c>
      <c r="M61">
        <v>45</v>
      </c>
      <c r="N61">
        <v>45</v>
      </c>
      <c r="O61">
        <v>80</v>
      </c>
      <c r="P61">
        <v>7</v>
      </c>
      <c r="Q61" t="s">
        <v>8</v>
      </c>
      <c r="R61">
        <v>4</v>
      </c>
      <c r="S61" t="s">
        <v>74</v>
      </c>
      <c r="T61">
        <v>1</v>
      </c>
      <c r="U61" t="s">
        <v>9</v>
      </c>
      <c r="V61">
        <v>1</v>
      </c>
    </row>
    <row r="62" spans="1:22" x14ac:dyDescent="0.25">
      <c r="A62">
        <v>75</v>
      </c>
      <c r="B62" t="s">
        <v>1</v>
      </c>
      <c r="C62" t="s">
        <v>165</v>
      </c>
      <c r="D62" t="s">
        <v>62</v>
      </c>
      <c r="G62" t="s">
        <v>88</v>
      </c>
      <c r="H62" t="s">
        <v>88</v>
      </c>
      <c r="I62">
        <v>0</v>
      </c>
      <c r="J62">
        <v>5</v>
      </c>
      <c r="K62">
        <v>0</v>
      </c>
      <c r="L62">
        <v>0</v>
      </c>
      <c r="M62">
        <v>0</v>
      </c>
      <c r="N62">
        <v>0</v>
      </c>
      <c r="O62">
        <v>0</v>
      </c>
      <c r="P62">
        <v>6</v>
      </c>
      <c r="Q62" t="s">
        <v>10</v>
      </c>
      <c r="R62">
        <v>6</v>
      </c>
    </row>
    <row r="63" spans="1:22" x14ac:dyDescent="0.25">
      <c r="A63">
        <v>238</v>
      </c>
      <c r="B63" t="s">
        <v>1</v>
      </c>
      <c r="C63" t="s">
        <v>166</v>
      </c>
      <c r="D63" t="s">
        <v>62</v>
      </c>
      <c r="G63" t="s">
        <v>88</v>
      </c>
      <c r="H63" t="s">
        <v>88</v>
      </c>
      <c r="I63">
        <v>0</v>
      </c>
      <c r="J63">
        <v>0</v>
      </c>
      <c r="K63">
        <v>0</v>
      </c>
      <c r="L63">
        <v>0</v>
      </c>
      <c r="M63">
        <v>0</v>
      </c>
      <c r="N63">
        <v>0</v>
      </c>
      <c r="O63">
        <v>0</v>
      </c>
      <c r="P63">
        <v>6</v>
      </c>
      <c r="Q63" t="s">
        <v>12</v>
      </c>
      <c r="R63">
        <v>6</v>
      </c>
    </row>
    <row r="64" spans="1:22" x14ac:dyDescent="0.25">
      <c r="A64">
        <v>226</v>
      </c>
      <c r="B64" t="s">
        <v>1</v>
      </c>
      <c r="C64" t="s">
        <v>167</v>
      </c>
      <c r="D64" t="s">
        <v>62</v>
      </c>
      <c r="G64" t="s">
        <v>88</v>
      </c>
      <c r="H64" t="s">
        <v>64</v>
      </c>
      <c r="I64">
        <v>8.18</v>
      </c>
      <c r="J64">
        <v>8.18</v>
      </c>
      <c r="K64">
        <v>8.18</v>
      </c>
      <c r="L64">
        <v>8.18</v>
      </c>
      <c r="M64">
        <v>12</v>
      </c>
      <c r="N64">
        <v>14</v>
      </c>
      <c r="O64">
        <v>20</v>
      </c>
      <c r="P64">
        <v>5</v>
      </c>
      <c r="Q64" t="s">
        <v>10</v>
      </c>
      <c r="R64">
        <v>5</v>
      </c>
    </row>
    <row r="65" spans="1:20" hidden="1" x14ac:dyDescent="0.25">
      <c r="A65">
        <v>228</v>
      </c>
      <c r="B65" t="s">
        <v>21</v>
      </c>
      <c r="C65" t="s">
        <v>168</v>
      </c>
      <c r="D65" t="s">
        <v>62</v>
      </c>
      <c r="G65" t="s">
        <v>64</v>
      </c>
      <c r="H65" t="s">
        <v>64</v>
      </c>
      <c r="I65">
        <v>10.7</v>
      </c>
      <c r="J65">
        <v>4.82</v>
      </c>
      <c r="K65">
        <v>9.07</v>
      </c>
      <c r="L65">
        <v>9.07</v>
      </c>
      <c r="M65">
        <v>12</v>
      </c>
      <c r="N65">
        <v>14</v>
      </c>
      <c r="O65">
        <v>20</v>
      </c>
      <c r="P65">
        <v>5</v>
      </c>
      <c r="Q65" t="s">
        <v>5</v>
      </c>
      <c r="R65">
        <v>5</v>
      </c>
    </row>
    <row r="66" spans="1:20" hidden="1" x14ac:dyDescent="0.25">
      <c r="A66">
        <v>28</v>
      </c>
      <c r="B66" t="s">
        <v>16</v>
      </c>
      <c r="C66" t="s">
        <v>169</v>
      </c>
      <c r="D66" t="s">
        <v>97</v>
      </c>
      <c r="F66" t="s">
        <v>170</v>
      </c>
      <c r="G66" t="s">
        <v>64</v>
      </c>
      <c r="H66" t="s">
        <v>64</v>
      </c>
      <c r="I66">
        <v>0</v>
      </c>
      <c r="J66">
        <v>65</v>
      </c>
      <c r="K66">
        <v>65</v>
      </c>
      <c r="L66">
        <v>65</v>
      </c>
      <c r="M66">
        <v>80</v>
      </c>
      <c r="N66">
        <v>80</v>
      </c>
      <c r="O66">
        <v>100</v>
      </c>
      <c r="P66">
        <v>5</v>
      </c>
      <c r="Q66" t="s">
        <v>8</v>
      </c>
      <c r="R66">
        <v>4</v>
      </c>
      <c r="S66" t="s">
        <v>75</v>
      </c>
      <c r="T66">
        <v>1</v>
      </c>
    </row>
    <row r="67" spans="1:20" hidden="1" x14ac:dyDescent="0.25">
      <c r="A67">
        <v>187</v>
      </c>
      <c r="B67" t="s">
        <v>16</v>
      </c>
      <c r="C67" t="s">
        <v>171</v>
      </c>
      <c r="D67" t="s">
        <v>97</v>
      </c>
      <c r="G67" t="s">
        <v>64</v>
      </c>
      <c r="H67" t="s">
        <v>64</v>
      </c>
      <c r="I67">
        <v>0</v>
      </c>
      <c r="J67">
        <v>52</v>
      </c>
      <c r="K67">
        <v>52</v>
      </c>
      <c r="L67">
        <v>52</v>
      </c>
      <c r="M67">
        <v>80</v>
      </c>
      <c r="N67">
        <v>80</v>
      </c>
      <c r="O67">
        <v>100</v>
      </c>
      <c r="P67">
        <v>5</v>
      </c>
      <c r="Q67" t="s">
        <v>75</v>
      </c>
      <c r="R67">
        <v>3</v>
      </c>
      <c r="S67" t="s">
        <v>80</v>
      </c>
      <c r="T67">
        <v>2</v>
      </c>
    </row>
    <row r="68" spans="1:20" hidden="1" x14ac:dyDescent="0.25">
      <c r="A68">
        <v>234</v>
      </c>
      <c r="B68" t="s">
        <v>16</v>
      </c>
      <c r="C68" t="s">
        <v>172</v>
      </c>
      <c r="D68" t="s">
        <v>97</v>
      </c>
      <c r="G68" t="s">
        <v>64</v>
      </c>
      <c r="H68" t="s">
        <v>64</v>
      </c>
      <c r="I68">
        <v>23</v>
      </c>
      <c r="J68">
        <v>23</v>
      </c>
      <c r="K68">
        <v>23</v>
      </c>
      <c r="L68">
        <v>23</v>
      </c>
      <c r="M68">
        <v>35</v>
      </c>
      <c r="N68">
        <v>45</v>
      </c>
      <c r="O68">
        <v>50</v>
      </c>
      <c r="P68">
        <v>5</v>
      </c>
      <c r="Q68" t="s">
        <v>108</v>
      </c>
      <c r="R68">
        <v>5</v>
      </c>
    </row>
    <row r="69" spans="1:20" x14ac:dyDescent="0.25">
      <c r="A69">
        <v>225</v>
      </c>
      <c r="B69" t="s">
        <v>1</v>
      </c>
      <c r="C69" t="s">
        <v>173</v>
      </c>
      <c r="D69" t="s">
        <v>62</v>
      </c>
      <c r="G69" t="s">
        <v>88</v>
      </c>
      <c r="H69" t="s">
        <v>64</v>
      </c>
      <c r="I69">
        <v>8.18</v>
      </c>
      <c r="J69">
        <v>8.18</v>
      </c>
      <c r="K69">
        <v>8.18</v>
      </c>
      <c r="L69">
        <v>8.18</v>
      </c>
      <c r="M69">
        <v>12</v>
      </c>
      <c r="N69">
        <v>14</v>
      </c>
      <c r="O69">
        <v>20</v>
      </c>
      <c r="P69">
        <v>4</v>
      </c>
      <c r="Q69" t="s">
        <v>10</v>
      </c>
      <c r="R69">
        <v>4</v>
      </c>
    </row>
    <row r="70" spans="1:20" hidden="1" x14ac:dyDescent="0.25">
      <c r="A70">
        <v>211</v>
      </c>
      <c r="B70" t="s">
        <v>18</v>
      </c>
      <c r="C70" t="s">
        <v>174</v>
      </c>
      <c r="D70" t="s">
        <v>72</v>
      </c>
      <c r="G70" t="s">
        <v>88</v>
      </c>
      <c r="H70" t="s">
        <v>64</v>
      </c>
      <c r="I70">
        <v>0</v>
      </c>
      <c r="J70">
        <v>300</v>
      </c>
      <c r="K70">
        <v>150</v>
      </c>
      <c r="L70">
        <v>150</v>
      </c>
      <c r="M70">
        <v>230</v>
      </c>
      <c r="N70">
        <v>230</v>
      </c>
      <c r="O70">
        <v>300</v>
      </c>
      <c r="P70">
        <v>4</v>
      </c>
      <c r="Q70" t="s">
        <v>74</v>
      </c>
      <c r="R70">
        <v>4</v>
      </c>
    </row>
    <row r="71" spans="1:20" hidden="1" x14ac:dyDescent="0.25">
      <c r="A71">
        <v>88</v>
      </c>
      <c r="B71" t="s">
        <v>16</v>
      </c>
      <c r="C71" t="s">
        <v>175</v>
      </c>
      <c r="D71" t="s">
        <v>97</v>
      </c>
      <c r="G71" t="s">
        <v>88</v>
      </c>
      <c r="H71" t="s">
        <v>88</v>
      </c>
      <c r="I71">
        <v>0</v>
      </c>
      <c r="J71">
        <v>52</v>
      </c>
      <c r="K71">
        <v>52</v>
      </c>
      <c r="L71">
        <v>52</v>
      </c>
      <c r="M71">
        <v>80</v>
      </c>
      <c r="N71">
        <v>80</v>
      </c>
      <c r="O71">
        <v>100</v>
      </c>
      <c r="P71">
        <v>4</v>
      </c>
      <c r="Q71" t="s">
        <v>75</v>
      </c>
      <c r="R71">
        <v>4</v>
      </c>
    </row>
    <row r="72" spans="1:20" hidden="1" x14ac:dyDescent="0.25">
      <c r="A72">
        <v>89</v>
      </c>
      <c r="B72" t="s">
        <v>16</v>
      </c>
      <c r="C72" t="s">
        <v>176</v>
      </c>
      <c r="D72" t="s">
        <v>97</v>
      </c>
      <c r="F72" t="s">
        <v>123</v>
      </c>
      <c r="G72" t="s">
        <v>88</v>
      </c>
      <c r="H72" t="s">
        <v>88</v>
      </c>
      <c r="I72">
        <v>0</v>
      </c>
      <c r="J72">
        <v>19</v>
      </c>
      <c r="K72">
        <v>19</v>
      </c>
      <c r="L72">
        <v>19</v>
      </c>
      <c r="M72">
        <v>30</v>
      </c>
      <c r="N72">
        <v>30</v>
      </c>
      <c r="O72">
        <v>40</v>
      </c>
      <c r="P72">
        <v>4</v>
      </c>
      <c r="Q72" t="s">
        <v>75</v>
      </c>
      <c r="R72">
        <v>4</v>
      </c>
    </row>
    <row r="73" spans="1:20" ht="225" x14ac:dyDescent="0.25">
      <c r="A73">
        <v>244</v>
      </c>
      <c r="B73" t="s">
        <v>1</v>
      </c>
      <c r="C73" t="s">
        <v>177</v>
      </c>
      <c r="D73" t="s">
        <v>62</v>
      </c>
      <c r="F73" s="1" t="s">
        <v>116</v>
      </c>
      <c r="G73" t="s">
        <v>64</v>
      </c>
      <c r="H73" t="s">
        <v>64</v>
      </c>
      <c r="I73">
        <v>11.53</v>
      </c>
      <c r="J73">
        <v>5.27</v>
      </c>
      <c r="K73">
        <v>10.6</v>
      </c>
      <c r="L73">
        <v>10.6</v>
      </c>
      <c r="M73">
        <v>14</v>
      </c>
      <c r="N73">
        <v>18</v>
      </c>
      <c r="O73">
        <v>25</v>
      </c>
      <c r="P73">
        <v>3</v>
      </c>
      <c r="Q73" t="s">
        <v>5</v>
      </c>
      <c r="R73">
        <v>3</v>
      </c>
    </row>
    <row r="74" spans="1:20" hidden="1" x14ac:dyDescent="0.25">
      <c r="A74">
        <v>193</v>
      </c>
      <c r="B74" t="s">
        <v>18</v>
      </c>
      <c r="C74" t="s">
        <v>178</v>
      </c>
      <c r="D74" t="s">
        <v>90</v>
      </c>
      <c r="G74" t="s">
        <v>88</v>
      </c>
      <c r="H74" t="s">
        <v>88</v>
      </c>
      <c r="I74">
        <v>0</v>
      </c>
      <c r="J74">
        <v>3.15</v>
      </c>
      <c r="K74">
        <v>3.15</v>
      </c>
      <c r="L74">
        <v>3.15</v>
      </c>
      <c r="M74">
        <v>3.15</v>
      </c>
      <c r="N74">
        <v>3.15</v>
      </c>
      <c r="O74">
        <v>5</v>
      </c>
      <c r="P74">
        <v>3</v>
      </c>
      <c r="Q74" t="s">
        <v>74</v>
      </c>
      <c r="R74">
        <v>3</v>
      </c>
    </row>
    <row r="75" spans="1:20" hidden="1" x14ac:dyDescent="0.25">
      <c r="A75">
        <v>247</v>
      </c>
      <c r="B75" t="s">
        <v>18</v>
      </c>
      <c r="C75" t="s">
        <v>179</v>
      </c>
      <c r="D75" t="s">
        <v>90</v>
      </c>
      <c r="G75" t="s">
        <v>64</v>
      </c>
      <c r="H75" t="s">
        <v>64</v>
      </c>
      <c r="I75">
        <v>0</v>
      </c>
      <c r="J75">
        <v>16.89</v>
      </c>
      <c r="K75">
        <v>16.89</v>
      </c>
      <c r="L75">
        <v>16.89</v>
      </c>
      <c r="M75">
        <v>16.89</v>
      </c>
      <c r="N75">
        <v>16.89</v>
      </c>
      <c r="O75">
        <v>20</v>
      </c>
      <c r="P75">
        <v>3</v>
      </c>
      <c r="Q75" t="s">
        <v>74</v>
      </c>
      <c r="R75">
        <v>3</v>
      </c>
    </row>
    <row r="76" spans="1:20" hidden="1" x14ac:dyDescent="0.25">
      <c r="A76">
        <v>72</v>
      </c>
      <c r="B76" t="s">
        <v>17</v>
      </c>
      <c r="C76" t="s">
        <v>180</v>
      </c>
      <c r="D76" t="s">
        <v>86</v>
      </c>
      <c r="F76" t="s">
        <v>181</v>
      </c>
      <c r="G76" t="s">
        <v>64</v>
      </c>
      <c r="H76" t="s">
        <v>64</v>
      </c>
      <c r="I76">
        <v>0</v>
      </c>
      <c r="J76">
        <v>138.75</v>
      </c>
      <c r="K76">
        <v>0</v>
      </c>
      <c r="L76">
        <v>0</v>
      </c>
      <c r="M76">
        <v>0</v>
      </c>
      <c r="N76">
        <v>0</v>
      </c>
      <c r="O76">
        <v>0</v>
      </c>
      <c r="P76">
        <v>3</v>
      </c>
      <c r="Q76" t="s">
        <v>74</v>
      </c>
      <c r="R76">
        <v>1</v>
      </c>
    </row>
    <row r="77" spans="1:20" hidden="1" x14ac:dyDescent="0.25">
      <c r="A77">
        <v>29</v>
      </c>
      <c r="B77" t="s">
        <v>16</v>
      </c>
      <c r="C77" t="s">
        <v>182</v>
      </c>
      <c r="D77" t="s">
        <v>97</v>
      </c>
      <c r="F77" t="s">
        <v>114</v>
      </c>
      <c r="G77" t="s">
        <v>88</v>
      </c>
      <c r="H77" t="s">
        <v>64</v>
      </c>
      <c r="I77">
        <v>0</v>
      </c>
      <c r="J77">
        <v>52</v>
      </c>
      <c r="K77">
        <v>52</v>
      </c>
      <c r="L77">
        <v>52</v>
      </c>
      <c r="M77">
        <v>60</v>
      </c>
      <c r="N77">
        <v>60</v>
      </c>
      <c r="O77">
        <v>80</v>
      </c>
      <c r="P77">
        <v>3</v>
      </c>
      <c r="Q77" t="s">
        <v>75</v>
      </c>
      <c r="R77">
        <v>3</v>
      </c>
    </row>
    <row r="78" spans="1:20" hidden="1" x14ac:dyDescent="0.25">
      <c r="A78">
        <v>90</v>
      </c>
      <c r="B78" t="s">
        <v>16</v>
      </c>
      <c r="C78" t="s">
        <v>183</v>
      </c>
      <c r="D78" t="s">
        <v>97</v>
      </c>
      <c r="G78" t="s">
        <v>88</v>
      </c>
      <c r="H78" t="s">
        <v>88</v>
      </c>
      <c r="I78">
        <v>0</v>
      </c>
      <c r="J78">
        <v>19</v>
      </c>
      <c r="K78">
        <v>19</v>
      </c>
      <c r="L78">
        <v>19</v>
      </c>
      <c r="M78">
        <v>30</v>
      </c>
      <c r="N78">
        <v>30</v>
      </c>
      <c r="O78">
        <v>50</v>
      </c>
      <c r="P78">
        <v>3</v>
      </c>
      <c r="Q78" t="s">
        <v>75</v>
      </c>
      <c r="R78">
        <v>3</v>
      </c>
    </row>
    <row r="79" spans="1:20" hidden="1" x14ac:dyDescent="0.25">
      <c r="A79">
        <v>140</v>
      </c>
      <c r="B79" t="s">
        <v>20</v>
      </c>
      <c r="C79" t="s">
        <v>184</v>
      </c>
      <c r="D79" t="s">
        <v>62</v>
      </c>
      <c r="G79" t="s">
        <v>88</v>
      </c>
      <c r="H79" t="s">
        <v>64</v>
      </c>
      <c r="I79">
        <v>0</v>
      </c>
      <c r="J79">
        <v>99</v>
      </c>
      <c r="K79">
        <v>99</v>
      </c>
      <c r="L79">
        <v>99</v>
      </c>
      <c r="M79">
        <v>99</v>
      </c>
      <c r="N79">
        <v>99</v>
      </c>
      <c r="O79">
        <v>150</v>
      </c>
      <c r="P79">
        <v>3</v>
      </c>
      <c r="Q79" t="s">
        <v>74</v>
      </c>
      <c r="R79">
        <v>2</v>
      </c>
      <c r="S79" t="s">
        <v>4</v>
      </c>
      <c r="T79">
        <v>1</v>
      </c>
    </row>
    <row r="80" spans="1:20" hidden="1" x14ac:dyDescent="0.25">
      <c r="A80">
        <v>214</v>
      </c>
      <c r="B80" t="s">
        <v>20</v>
      </c>
      <c r="C80" t="s">
        <v>185</v>
      </c>
      <c r="D80" t="s">
        <v>86</v>
      </c>
      <c r="F80" t="s">
        <v>186</v>
      </c>
      <c r="G80" t="s">
        <v>64</v>
      </c>
      <c r="H80" t="s">
        <v>64</v>
      </c>
      <c r="I80">
        <v>0</v>
      </c>
      <c r="J80">
        <v>25</v>
      </c>
      <c r="K80">
        <v>15</v>
      </c>
      <c r="L80">
        <v>15</v>
      </c>
      <c r="M80">
        <v>25</v>
      </c>
      <c r="N80">
        <v>25</v>
      </c>
      <c r="O80">
        <v>50</v>
      </c>
      <c r="P80">
        <v>3</v>
      </c>
      <c r="Q80" t="s">
        <v>74</v>
      </c>
      <c r="R80">
        <v>3</v>
      </c>
    </row>
    <row r="81" spans="1:20" hidden="1" x14ac:dyDescent="0.25">
      <c r="A81">
        <v>134</v>
      </c>
      <c r="B81" t="s">
        <v>19</v>
      </c>
      <c r="C81" t="s">
        <v>187</v>
      </c>
      <c r="D81" t="s">
        <v>72</v>
      </c>
      <c r="G81" t="s">
        <v>88</v>
      </c>
      <c r="H81" t="s">
        <v>64</v>
      </c>
      <c r="I81">
        <v>0</v>
      </c>
      <c r="J81">
        <v>65</v>
      </c>
      <c r="K81">
        <v>41.1</v>
      </c>
      <c r="L81">
        <v>41.1</v>
      </c>
      <c r="M81">
        <v>65</v>
      </c>
      <c r="N81">
        <v>65</v>
      </c>
      <c r="O81">
        <v>80</v>
      </c>
      <c r="P81">
        <v>2</v>
      </c>
      <c r="Q81" t="s">
        <v>8</v>
      </c>
      <c r="R81">
        <v>1</v>
      </c>
      <c r="S81" t="s">
        <v>82</v>
      </c>
      <c r="T81">
        <v>1</v>
      </c>
    </row>
    <row r="82" spans="1:20" x14ac:dyDescent="0.25">
      <c r="A82">
        <v>176</v>
      </c>
      <c r="B82" t="s">
        <v>1</v>
      </c>
      <c r="C82" t="s">
        <v>67</v>
      </c>
      <c r="D82" t="s">
        <v>62</v>
      </c>
      <c r="F82" t="s">
        <v>188</v>
      </c>
      <c r="G82" t="s">
        <v>88</v>
      </c>
      <c r="H82" t="s">
        <v>88</v>
      </c>
      <c r="I82">
        <v>4.5999999999999996</v>
      </c>
      <c r="J82">
        <v>4.5999999999999996</v>
      </c>
      <c r="K82">
        <v>4.5999999999999996</v>
      </c>
      <c r="L82">
        <v>4.5999999999999996</v>
      </c>
      <c r="M82">
        <v>8</v>
      </c>
      <c r="N82">
        <v>8</v>
      </c>
      <c r="O82">
        <v>10</v>
      </c>
      <c r="P82">
        <v>2</v>
      </c>
      <c r="Q82" t="s">
        <v>5</v>
      </c>
      <c r="R82">
        <v>2</v>
      </c>
    </row>
    <row r="83" spans="1:20" x14ac:dyDescent="0.25">
      <c r="A83">
        <v>216</v>
      </c>
      <c r="B83" t="s">
        <v>1</v>
      </c>
      <c r="C83" t="s">
        <v>189</v>
      </c>
      <c r="D83" t="s">
        <v>62</v>
      </c>
      <c r="G83" t="s">
        <v>88</v>
      </c>
      <c r="H83" t="s">
        <v>64</v>
      </c>
      <c r="I83">
        <v>10</v>
      </c>
      <c r="J83">
        <v>10</v>
      </c>
      <c r="K83">
        <v>10</v>
      </c>
      <c r="L83">
        <v>10</v>
      </c>
      <c r="M83">
        <v>12</v>
      </c>
      <c r="N83">
        <v>12</v>
      </c>
      <c r="O83">
        <v>15</v>
      </c>
      <c r="P83">
        <v>2</v>
      </c>
      <c r="Q83" t="s">
        <v>10</v>
      </c>
      <c r="R83">
        <v>2</v>
      </c>
    </row>
    <row r="84" spans="1:20" hidden="1" x14ac:dyDescent="0.25">
      <c r="A84">
        <v>199</v>
      </c>
      <c r="B84" t="s">
        <v>18</v>
      </c>
      <c r="C84" t="s">
        <v>190</v>
      </c>
      <c r="D84" t="s">
        <v>90</v>
      </c>
      <c r="G84" t="s">
        <v>64</v>
      </c>
      <c r="H84" t="s">
        <v>64</v>
      </c>
      <c r="I84">
        <v>0</v>
      </c>
      <c r="J84">
        <v>17</v>
      </c>
      <c r="K84">
        <v>17</v>
      </c>
      <c r="L84">
        <v>17</v>
      </c>
      <c r="M84">
        <v>17</v>
      </c>
      <c r="N84">
        <v>17</v>
      </c>
      <c r="O84">
        <v>22</v>
      </c>
      <c r="P84">
        <v>2</v>
      </c>
      <c r="Q84" t="s">
        <v>74</v>
      </c>
      <c r="R84">
        <v>2</v>
      </c>
    </row>
    <row r="85" spans="1:20" hidden="1" x14ac:dyDescent="0.25">
      <c r="A85">
        <v>230</v>
      </c>
      <c r="B85" t="s">
        <v>18</v>
      </c>
      <c r="C85" t="s">
        <v>191</v>
      </c>
      <c r="D85" t="s">
        <v>90</v>
      </c>
      <c r="G85" t="s">
        <v>64</v>
      </c>
      <c r="H85" t="s">
        <v>64</v>
      </c>
      <c r="I85">
        <v>0</v>
      </c>
      <c r="J85">
        <v>3.68</v>
      </c>
      <c r="K85">
        <v>3.68</v>
      </c>
      <c r="L85">
        <v>3.68</v>
      </c>
      <c r="M85">
        <v>3.68</v>
      </c>
      <c r="N85">
        <v>3.68</v>
      </c>
      <c r="O85">
        <v>4</v>
      </c>
      <c r="P85">
        <v>2</v>
      </c>
      <c r="Q85" t="s">
        <v>74</v>
      </c>
      <c r="R85">
        <v>2</v>
      </c>
    </row>
    <row r="86" spans="1:20" hidden="1" x14ac:dyDescent="0.25">
      <c r="A86">
        <v>217</v>
      </c>
      <c r="B86" t="s">
        <v>22</v>
      </c>
      <c r="C86" t="s">
        <v>192</v>
      </c>
      <c r="D86" t="s">
        <v>86</v>
      </c>
      <c r="E86" t="s">
        <v>193</v>
      </c>
      <c r="F86" t="s">
        <v>193</v>
      </c>
      <c r="G86" t="s">
        <v>64</v>
      </c>
      <c r="H86" t="s">
        <v>64</v>
      </c>
      <c r="I86">
        <v>0</v>
      </c>
      <c r="J86">
        <v>30</v>
      </c>
      <c r="K86">
        <v>15</v>
      </c>
      <c r="L86">
        <v>15</v>
      </c>
      <c r="M86">
        <v>15</v>
      </c>
      <c r="N86">
        <v>15</v>
      </c>
      <c r="O86">
        <v>30</v>
      </c>
      <c r="P86">
        <v>2</v>
      </c>
      <c r="Q86" t="s">
        <v>74</v>
      </c>
      <c r="R86">
        <v>2</v>
      </c>
    </row>
    <row r="87" spans="1:20" hidden="1" x14ac:dyDescent="0.25">
      <c r="A87">
        <v>70</v>
      </c>
      <c r="B87" t="s">
        <v>17</v>
      </c>
      <c r="C87" t="s">
        <v>194</v>
      </c>
      <c r="D87" t="s">
        <v>86</v>
      </c>
      <c r="F87" t="s">
        <v>195</v>
      </c>
      <c r="G87" t="s">
        <v>64</v>
      </c>
      <c r="H87" t="s">
        <v>64</v>
      </c>
      <c r="I87">
        <v>0</v>
      </c>
      <c r="J87">
        <v>75</v>
      </c>
      <c r="K87">
        <v>0</v>
      </c>
      <c r="L87">
        <v>0</v>
      </c>
      <c r="M87">
        <v>0</v>
      </c>
      <c r="N87">
        <v>0</v>
      </c>
      <c r="O87">
        <v>0</v>
      </c>
      <c r="P87">
        <v>2</v>
      </c>
      <c r="Q87" t="s">
        <v>74</v>
      </c>
      <c r="R87">
        <v>1</v>
      </c>
    </row>
    <row r="88" spans="1:20" hidden="1" x14ac:dyDescent="0.25">
      <c r="A88">
        <v>156</v>
      </c>
      <c r="B88" t="s">
        <v>17</v>
      </c>
      <c r="C88" t="s">
        <v>196</v>
      </c>
      <c r="D88" t="s">
        <v>86</v>
      </c>
      <c r="G88" t="s">
        <v>64</v>
      </c>
      <c r="H88" t="s">
        <v>64</v>
      </c>
      <c r="I88">
        <v>0</v>
      </c>
      <c r="J88">
        <v>205.42</v>
      </c>
      <c r="K88">
        <v>0</v>
      </c>
      <c r="L88">
        <v>0</v>
      </c>
      <c r="M88">
        <v>0</v>
      </c>
      <c r="N88">
        <v>0</v>
      </c>
      <c r="O88">
        <v>0</v>
      </c>
      <c r="P88">
        <v>2</v>
      </c>
      <c r="Q88" t="s">
        <v>74</v>
      </c>
      <c r="R88">
        <v>2</v>
      </c>
    </row>
    <row r="89" spans="1:20" hidden="1" x14ac:dyDescent="0.25">
      <c r="A89">
        <v>66</v>
      </c>
      <c r="B89" t="s">
        <v>16</v>
      </c>
      <c r="C89" t="s">
        <v>197</v>
      </c>
      <c r="D89" t="s">
        <v>72</v>
      </c>
      <c r="G89" t="s">
        <v>88</v>
      </c>
      <c r="H89" t="s">
        <v>88</v>
      </c>
      <c r="I89">
        <v>0</v>
      </c>
      <c r="J89">
        <v>32</v>
      </c>
      <c r="K89">
        <v>32</v>
      </c>
      <c r="L89">
        <v>32</v>
      </c>
      <c r="M89">
        <v>50</v>
      </c>
      <c r="N89">
        <v>50</v>
      </c>
      <c r="O89">
        <v>60</v>
      </c>
      <c r="P89">
        <v>2</v>
      </c>
      <c r="Q89" t="s">
        <v>75</v>
      </c>
      <c r="R89">
        <v>1</v>
      </c>
      <c r="S89" t="s">
        <v>8</v>
      </c>
      <c r="T89">
        <v>1</v>
      </c>
    </row>
    <row r="90" spans="1:20" hidden="1" x14ac:dyDescent="0.25">
      <c r="A90">
        <v>92</v>
      </c>
      <c r="B90" t="s">
        <v>16</v>
      </c>
      <c r="C90" t="s">
        <v>198</v>
      </c>
      <c r="D90" t="s">
        <v>97</v>
      </c>
      <c r="G90" t="s">
        <v>88</v>
      </c>
      <c r="H90" t="s">
        <v>88</v>
      </c>
      <c r="I90">
        <v>39</v>
      </c>
      <c r="J90">
        <v>39</v>
      </c>
      <c r="K90">
        <v>39</v>
      </c>
      <c r="L90">
        <v>39</v>
      </c>
      <c r="M90">
        <v>45</v>
      </c>
      <c r="N90">
        <v>45</v>
      </c>
      <c r="O90">
        <v>80</v>
      </c>
      <c r="P90">
        <v>2</v>
      </c>
      <c r="Q90" t="s">
        <v>75</v>
      </c>
      <c r="R90">
        <v>2</v>
      </c>
    </row>
    <row r="91" spans="1:20" hidden="1" x14ac:dyDescent="0.25">
      <c r="A91">
        <v>195</v>
      </c>
      <c r="B91" t="s">
        <v>16</v>
      </c>
      <c r="C91" t="s">
        <v>199</v>
      </c>
      <c r="D91" t="s">
        <v>97</v>
      </c>
      <c r="G91" t="s">
        <v>88</v>
      </c>
      <c r="H91" t="s">
        <v>64</v>
      </c>
      <c r="I91">
        <v>0</v>
      </c>
      <c r="J91">
        <v>15</v>
      </c>
      <c r="K91">
        <v>15</v>
      </c>
      <c r="L91">
        <v>15</v>
      </c>
      <c r="M91">
        <v>30</v>
      </c>
      <c r="N91">
        <v>30</v>
      </c>
      <c r="O91">
        <v>50</v>
      </c>
      <c r="P91">
        <v>2</v>
      </c>
      <c r="Q91" t="s">
        <v>7</v>
      </c>
      <c r="R91">
        <v>2</v>
      </c>
    </row>
    <row r="92" spans="1:20" hidden="1" x14ac:dyDescent="0.25">
      <c r="A92">
        <v>59</v>
      </c>
      <c r="B92" t="s">
        <v>24</v>
      </c>
      <c r="C92" t="s">
        <v>200</v>
      </c>
      <c r="D92" t="s">
        <v>97</v>
      </c>
      <c r="E92" t="s">
        <v>98</v>
      </c>
      <c r="F92" t="s">
        <v>99</v>
      </c>
      <c r="G92" t="s">
        <v>64</v>
      </c>
      <c r="H92" t="s">
        <v>64</v>
      </c>
      <c r="I92">
        <v>0</v>
      </c>
      <c r="J92">
        <v>2</v>
      </c>
      <c r="K92">
        <v>2</v>
      </c>
      <c r="L92">
        <v>2</v>
      </c>
      <c r="M92">
        <v>3</v>
      </c>
      <c r="N92">
        <v>3</v>
      </c>
      <c r="O92">
        <v>5</v>
      </c>
      <c r="P92">
        <v>2</v>
      </c>
      <c r="Q92" t="s">
        <v>7</v>
      </c>
      <c r="R92">
        <v>2</v>
      </c>
    </row>
    <row r="93" spans="1:20" x14ac:dyDescent="0.25">
      <c r="A93">
        <v>77</v>
      </c>
      <c r="B93" t="s">
        <v>1</v>
      </c>
      <c r="C93" t="s">
        <v>201</v>
      </c>
      <c r="D93" t="s">
        <v>62</v>
      </c>
      <c r="G93" t="s">
        <v>88</v>
      </c>
      <c r="H93" t="s">
        <v>88</v>
      </c>
      <c r="I93">
        <v>0</v>
      </c>
      <c r="J93">
        <v>8.6999999999999993</v>
      </c>
      <c r="K93">
        <v>0</v>
      </c>
      <c r="L93">
        <v>0</v>
      </c>
      <c r="M93">
        <v>0</v>
      </c>
      <c r="N93">
        <v>0</v>
      </c>
      <c r="O93">
        <v>0</v>
      </c>
      <c r="P93">
        <v>1</v>
      </c>
      <c r="Q93" t="s">
        <v>10</v>
      </c>
      <c r="R93">
        <v>1</v>
      </c>
    </row>
    <row r="94" spans="1:20" x14ac:dyDescent="0.25">
      <c r="A94">
        <v>97</v>
      </c>
      <c r="B94" t="s">
        <v>1</v>
      </c>
      <c r="C94" t="s">
        <v>202</v>
      </c>
      <c r="D94" t="s">
        <v>62</v>
      </c>
      <c r="F94" t="s">
        <v>163</v>
      </c>
      <c r="G94" t="s">
        <v>88</v>
      </c>
      <c r="H94" t="s">
        <v>88</v>
      </c>
      <c r="I94">
        <v>0</v>
      </c>
      <c r="J94">
        <v>7.36</v>
      </c>
      <c r="K94">
        <v>0</v>
      </c>
      <c r="L94">
        <v>0</v>
      </c>
      <c r="M94">
        <v>0</v>
      </c>
      <c r="N94">
        <v>0</v>
      </c>
      <c r="O94">
        <v>0</v>
      </c>
      <c r="P94">
        <v>1</v>
      </c>
      <c r="Q94" t="s">
        <v>11</v>
      </c>
      <c r="R94">
        <v>1</v>
      </c>
    </row>
    <row r="95" spans="1:20" x14ac:dyDescent="0.25">
      <c r="A95">
        <v>147</v>
      </c>
      <c r="B95" t="s">
        <v>1</v>
      </c>
      <c r="C95" t="s">
        <v>203</v>
      </c>
      <c r="D95" t="s">
        <v>62</v>
      </c>
      <c r="G95" t="s">
        <v>88</v>
      </c>
      <c r="H95" t="s">
        <v>64</v>
      </c>
      <c r="I95">
        <v>0</v>
      </c>
      <c r="J95">
        <v>0</v>
      </c>
      <c r="K95">
        <v>0</v>
      </c>
      <c r="L95">
        <v>0</v>
      </c>
      <c r="M95">
        <v>0</v>
      </c>
      <c r="N95">
        <v>0</v>
      </c>
      <c r="O95">
        <v>0</v>
      </c>
      <c r="P95">
        <v>1</v>
      </c>
      <c r="Q95" t="s">
        <v>10</v>
      </c>
      <c r="R95">
        <v>1</v>
      </c>
    </row>
    <row r="96" spans="1:20" x14ac:dyDescent="0.25">
      <c r="A96">
        <v>177</v>
      </c>
      <c r="B96" t="s">
        <v>1</v>
      </c>
      <c r="C96" t="s">
        <v>204</v>
      </c>
      <c r="D96" t="s">
        <v>62</v>
      </c>
      <c r="F96" t="s">
        <v>205</v>
      </c>
      <c r="G96" t="s">
        <v>88</v>
      </c>
      <c r="H96" t="s">
        <v>88</v>
      </c>
      <c r="I96">
        <v>0</v>
      </c>
      <c r="J96">
        <v>5.26</v>
      </c>
      <c r="K96">
        <v>5.26</v>
      </c>
      <c r="L96">
        <v>5.26</v>
      </c>
      <c r="M96">
        <v>5.26</v>
      </c>
      <c r="N96">
        <v>5.26</v>
      </c>
      <c r="O96">
        <v>5.26</v>
      </c>
      <c r="P96">
        <v>1</v>
      </c>
      <c r="Q96" t="s">
        <v>5</v>
      </c>
      <c r="R96">
        <v>1</v>
      </c>
    </row>
    <row r="97" spans="1:18" x14ac:dyDescent="0.25">
      <c r="A97">
        <v>210</v>
      </c>
      <c r="B97" t="s">
        <v>1</v>
      </c>
      <c r="C97" t="s">
        <v>206</v>
      </c>
      <c r="D97" t="s">
        <v>62</v>
      </c>
      <c r="G97" t="s">
        <v>88</v>
      </c>
      <c r="H97" t="s">
        <v>88</v>
      </c>
      <c r="I97">
        <v>6.9</v>
      </c>
      <c r="J97">
        <v>3.99</v>
      </c>
      <c r="K97">
        <v>8</v>
      </c>
      <c r="L97">
        <v>8</v>
      </c>
      <c r="M97">
        <v>10</v>
      </c>
      <c r="N97">
        <v>10</v>
      </c>
      <c r="O97">
        <v>15</v>
      </c>
      <c r="P97">
        <v>1</v>
      </c>
      <c r="Q97" t="s">
        <v>11</v>
      </c>
      <c r="R97">
        <v>1</v>
      </c>
    </row>
    <row r="98" spans="1:18" hidden="1" x14ac:dyDescent="0.25">
      <c r="A98">
        <v>229</v>
      </c>
      <c r="B98" t="s">
        <v>21</v>
      </c>
      <c r="C98" t="s">
        <v>207</v>
      </c>
      <c r="D98" t="s">
        <v>62</v>
      </c>
      <c r="G98" t="s">
        <v>88</v>
      </c>
      <c r="H98" t="s">
        <v>88</v>
      </c>
      <c r="I98">
        <v>0</v>
      </c>
      <c r="J98">
        <v>12</v>
      </c>
      <c r="K98">
        <v>0</v>
      </c>
      <c r="L98">
        <v>0</v>
      </c>
      <c r="M98">
        <v>0</v>
      </c>
      <c r="N98">
        <v>0</v>
      </c>
      <c r="O98">
        <v>0</v>
      </c>
      <c r="P98">
        <v>1</v>
      </c>
      <c r="Q98" t="s">
        <v>5</v>
      </c>
      <c r="R98">
        <v>1</v>
      </c>
    </row>
    <row r="99" spans="1:18" hidden="1" x14ac:dyDescent="0.25">
      <c r="A99">
        <v>245</v>
      </c>
      <c r="B99" t="s">
        <v>21</v>
      </c>
      <c r="C99" t="s">
        <v>208</v>
      </c>
      <c r="D99" t="s">
        <v>62</v>
      </c>
      <c r="G99" t="s">
        <v>64</v>
      </c>
      <c r="H99" t="s">
        <v>64</v>
      </c>
      <c r="I99">
        <v>4.92</v>
      </c>
      <c r="J99">
        <v>3.94</v>
      </c>
      <c r="K99">
        <v>4.18</v>
      </c>
      <c r="L99">
        <v>4.18</v>
      </c>
      <c r="M99">
        <v>8</v>
      </c>
      <c r="N99">
        <v>10</v>
      </c>
      <c r="O99">
        <v>13</v>
      </c>
      <c r="P99">
        <v>1</v>
      </c>
      <c r="Q99" t="s">
        <v>5</v>
      </c>
      <c r="R99">
        <v>1</v>
      </c>
    </row>
    <row r="100" spans="1:18" hidden="1" x14ac:dyDescent="0.25">
      <c r="A100">
        <v>141</v>
      </c>
      <c r="B100" t="s">
        <v>18</v>
      </c>
      <c r="C100" t="s">
        <v>209</v>
      </c>
      <c r="D100" t="s">
        <v>90</v>
      </c>
      <c r="G100" t="s">
        <v>64</v>
      </c>
      <c r="H100" t="s">
        <v>64</v>
      </c>
      <c r="I100">
        <v>0</v>
      </c>
      <c r="J100">
        <v>7.77</v>
      </c>
      <c r="K100">
        <v>7.77</v>
      </c>
      <c r="L100">
        <v>7.77</v>
      </c>
      <c r="M100">
        <v>7.77</v>
      </c>
      <c r="N100">
        <v>7.77</v>
      </c>
      <c r="O100">
        <v>9</v>
      </c>
      <c r="P100">
        <v>1</v>
      </c>
      <c r="Q100" t="s">
        <v>74</v>
      </c>
      <c r="R100">
        <v>1</v>
      </c>
    </row>
    <row r="101" spans="1:18" hidden="1" x14ac:dyDescent="0.25">
      <c r="A101">
        <v>197</v>
      </c>
      <c r="B101" t="s">
        <v>18</v>
      </c>
      <c r="C101" t="s">
        <v>210</v>
      </c>
      <c r="D101" t="s">
        <v>90</v>
      </c>
      <c r="G101" t="s">
        <v>64</v>
      </c>
      <c r="H101" t="s">
        <v>64</v>
      </c>
      <c r="I101">
        <v>0</v>
      </c>
      <c r="J101">
        <v>5</v>
      </c>
      <c r="K101">
        <v>5</v>
      </c>
      <c r="L101">
        <v>5</v>
      </c>
      <c r="M101">
        <v>5</v>
      </c>
      <c r="N101">
        <v>5</v>
      </c>
      <c r="O101">
        <v>8</v>
      </c>
      <c r="P101">
        <v>1</v>
      </c>
      <c r="Q101" t="s">
        <v>74</v>
      </c>
      <c r="R101">
        <v>1</v>
      </c>
    </row>
    <row r="102" spans="1:18" hidden="1" x14ac:dyDescent="0.25">
      <c r="A102">
        <v>200</v>
      </c>
      <c r="B102" t="s">
        <v>18</v>
      </c>
      <c r="C102" t="s">
        <v>211</v>
      </c>
      <c r="D102" t="s">
        <v>90</v>
      </c>
      <c r="G102" t="s">
        <v>64</v>
      </c>
      <c r="H102" t="s">
        <v>64</v>
      </c>
      <c r="I102">
        <v>0</v>
      </c>
      <c r="J102">
        <v>25</v>
      </c>
      <c r="K102">
        <v>25</v>
      </c>
      <c r="L102">
        <v>25</v>
      </c>
      <c r="M102">
        <v>25</v>
      </c>
      <c r="N102">
        <v>25</v>
      </c>
      <c r="O102">
        <v>30</v>
      </c>
      <c r="P102">
        <v>1</v>
      </c>
      <c r="Q102" t="s">
        <v>74</v>
      </c>
      <c r="R102">
        <v>1</v>
      </c>
    </row>
    <row r="103" spans="1:18" hidden="1" x14ac:dyDescent="0.25">
      <c r="A103">
        <v>91</v>
      </c>
      <c r="B103" t="s">
        <v>16</v>
      </c>
      <c r="C103" t="s">
        <v>212</v>
      </c>
      <c r="D103" t="s">
        <v>97</v>
      </c>
      <c r="F103" t="s">
        <v>123</v>
      </c>
      <c r="G103" t="s">
        <v>88</v>
      </c>
      <c r="H103" t="s">
        <v>88</v>
      </c>
      <c r="I103">
        <v>0</v>
      </c>
      <c r="J103">
        <v>39</v>
      </c>
      <c r="K103">
        <v>39</v>
      </c>
      <c r="L103">
        <v>39</v>
      </c>
      <c r="M103">
        <v>50</v>
      </c>
      <c r="N103">
        <v>50</v>
      </c>
      <c r="O103">
        <v>70</v>
      </c>
      <c r="P103">
        <v>1</v>
      </c>
      <c r="Q103" t="s">
        <v>75</v>
      </c>
      <c r="R103">
        <v>1</v>
      </c>
    </row>
    <row r="104" spans="1:18" hidden="1" x14ac:dyDescent="0.25">
      <c r="A104">
        <v>196</v>
      </c>
      <c r="B104" t="s">
        <v>16</v>
      </c>
      <c r="C104" t="s">
        <v>213</v>
      </c>
      <c r="D104" t="s">
        <v>72</v>
      </c>
      <c r="G104" t="s">
        <v>88</v>
      </c>
      <c r="H104" t="s">
        <v>64</v>
      </c>
      <c r="I104">
        <v>0</v>
      </c>
      <c r="J104">
        <v>0</v>
      </c>
      <c r="K104">
        <v>0</v>
      </c>
      <c r="L104">
        <v>0</v>
      </c>
      <c r="M104">
        <v>0</v>
      </c>
      <c r="N104">
        <v>0</v>
      </c>
      <c r="O104">
        <v>0</v>
      </c>
      <c r="P104">
        <v>1</v>
      </c>
      <c r="Q104" t="s">
        <v>9</v>
      </c>
      <c r="R104">
        <v>1</v>
      </c>
    </row>
    <row r="105" spans="1:18" hidden="1" x14ac:dyDescent="0.25">
      <c r="A105">
        <v>236</v>
      </c>
      <c r="B105" t="s">
        <v>23</v>
      </c>
      <c r="C105" t="s">
        <v>214</v>
      </c>
      <c r="D105" t="s">
        <v>156</v>
      </c>
      <c r="G105" t="s">
        <v>64</v>
      </c>
      <c r="H105" t="s">
        <v>64</v>
      </c>
      <c r="I105">
        <v>0</v>
      </c>
      <c r="J105">
        <v>60</v>
      </c>
      <c r="K105">
        <v>60</v>
      </c>
      <c r="L105">
        <v>60</v>
      </c>
      <c r="M105">
        <v>200</v>
      </c>
      <c r="N105">
        <v>200</v>
      </c>
      <c r="O105">
        <v>300</v>
      </c>
      <c r="P105">
        <v>1</v>
      </c>
      <c r="Q105" t="s">
        <v>74</v>
      </c>
      <c r="R105">
        <v>1</v>
      </c>
    </row>
    <row r="106" spans="1:18" hidden="1" x14ac:dyDescent="0.25">
      <c r="A106">
        <v>139</v>
      </c>
      <c r="B106" t="s">
        <v>20</v>
      </c>
      <c r="C106" t="s">
        <v>215</v>
      </c>
      <c r="D106" t="s">
        <v>86</v>
      </c>
      <c r="G106" t="s">
        <v>88</v>
      </c>
      <c r="H106" t="s">
        <v>64</v>
      </c>
      <c r="I106">
        <v>0</v>
      </c>
      <c r="J106">
        <v>30</v>
      </c>
      <c r="K106">
        <v>30</v>
      </c>
      <c r="L106">
        <v>30</v>
      </c>
      <c r="M106">
        <v>50</v>
      </c>
      <c r="N106">
        <v>50</v>
      </c>
      <c r="O106">
        <v>60</v>
      </c>
      <c r="P106">
        <v>1</v>
      </c>
      <c r="Q106" t="s">
        <v>74</v>
      </c>
      <c r="R106">
        <v>1</v>
      </c>
    </row>
    <row r="107" spans="1:18" hidden="1" x14ac:dyDescent="0.25">
      <c r="A107">
        <v>171</v>
      </c>
      <c r="B107" t="s">
        <v>20</v>
      </c>
      <c r="C107" t="s">
        <v>216</v>
      </c>
      <c r="D107" t="s">
        <v>86</v>
      </c>
      <c r="G107" t="s">
        <v>64</v>
      </c>
      <c r="H107" t="s">
        <v>64</v>
      </c>
      <c r="I107">
        <v>0</v>
      </c>
      <c r="J107">
        <v>20</v>
      </c>
      <c r="K107">
        <v>12</v>
      </c>
      <c r="L107">
        <v>12</v>
      </c>
      <c r="M107">
        <v>20</v>
      </c>
      <c r="N107">
        <v>20</v>
      </c>
      <c r="O107">
        <v>40</v>
      </c>
      <c r="P107">
        <v>1</v>
      </c>
      <c r="Q107" t="s">
        <v>74</v>
      </c>
      <c r="R107">
        <v>1</v>
      </c>
    </row>
    <row r="108" spans="1:18" hidden="1" x14ac:dyDescent="0.25">
      <c r="A108">
        <v>192</v>
      </c>
      <c r="B108" t="s">
        <v>20</v>
      </c>
      <c r="C108" t="s">
        <v>217</v>
      </c>
      <c r="D108" t="s">
        <v>86</v>
      </c>
      <c r="G108" t="s">
        <v>64</v>
      </c>
      <c r="H108" t="s">
        <v>64</v>
      </c>
      <c r="I108">
        <v>0</v>
      </c>
      <c r="J108">
        <v>80</v>
      </c>
      <c r="K108">
        <v>48</v>
      </c>
      <c r="L108">
        <v>48</v>
      </c>
      <c r="M108">
        <v>80</v>
      </c>
      <c r="N108">
        <v>80</v>
      </c>
      <c r="O108">
        <v>140</v>
      </c>
      <c r="P108">
        <v>1</v>
      </c>
      <c r="Q108" t="s">
        <v>74</v>
      </c>
      <c r="R108">
        <v>1</v>
      </c>
    </row>
    <row r="109" spans="1:18" hidden="1" x14ac:dyDescent="0.25">
      <c r="A109">
        <v>34</v>
      </c>
      <c r="B109" t="s">
        <v>19</v>
      </c>
      <c r="C109" t="s">
        <v>218</v>
      </c>
      <c r="D109" t="s">
        <v>72</v>
      </c>
      <c r="G109" t="s">
        <v>88</v>
      </c>
      <c r="H109" t="s">
        <v>64</v>
      </c>
      <c r="I109">
        <v>0</v>
      </c>
      <c r="J109">
        <v>40</v>
      </c>
      <c r="K109">
        <v>24</v>
      </c>
      <c r="L109">
        <v>24</v>
      </c>
      <c r="M109">
        <v>40</v>
      </c>
      <c r="N109">
        <v>40</v>
      </c>
      <c r="O109">
        <v>60</v>
      </c>
      <c r="P109">
        <v>0</v>
      </c>
    </row>
    <row r="110" spans="1:18" hidden="1" x14ac:dyDescent="0.25">
      <c r="A110">
        <v>35</v>
      </c>
      <c r="B110" t="s">
        <v>19</v>
      </c>
      <c r="C110" t="s">
        <v>219</v>
      </c>
      <c r="D110" t="s">
        <v>72</v>
      </c>
      <c r="G110" t="s">
        <v>88</v>
      </c>
      <c r="H110" t="s">
        <v>64</v>
      </c>
      <c r="I110">
        <v>0</v>
      </c>
      <c r="J110">
        <v>27</v>
      </c>
      <c r="K110">
        <v>27</v>
      </c>
      <c r="L110">
        <v>27</v>
      </c>
      <c r="M110">
        <v>45</v>
      </c>
      <c r="N110">
        <v>45</v>
      </c>
      <c r="O110">
        <v>80</v>
      </c>
      <c r="P110">
        <v>0</v>
      </c>
    </row>
    <row r="111" spans="1:18" x14ac:dyDescent="0.25">
      <c r="A111">
        <v>46</v>
      </c>
      <c r="B111" t="s">
        <v>1</v>
      </c>
      <c r="C111" t="s">
        <v>220</v>
      </c>
      <c r="D111" t="s">
        <v>62</v>
      </c>
      <c r="E111" t="s">
        <v>221</v>
      </c>
      <c r="F111" t="s">
        <v>221</v>
      </c>
      <c r="G111" t="s">
        <v>88</v>
      </c>
      <c r="H111" t="s">
        <v>88</v>
      </c>
      <c r="I111">
        <v>0</v>
      </c>
      <c r="J111">
        <v>6.21</v>
      </c>
      <c r="K111">
        <v>0</v>
      </c>
      <c r="L111">
        <v>0</v>
      </c>
      <c r="M111">
        <v>0</v>
      </c>
      <c r="N111">
        <v>0</v>
      </c>
      <c r="O111">
        <v>12.9</v>
      </c>
      <c r="P111">
        <v>0</v>
      </c>
    </row>
    <row r="112" spans="1:18" x14ac:dyDescent="0.25">
      <c r="A112">
        <v>47</v>
      </c>
      <c r="B112" t="s">
        <v>1</v>
      </c>
      <c r="C112" t="s">
        <v>222</v>
      </c>
      <c r="D112" t="s">
        <v>62</v>
      </c>
      <c r="E112" t="s">
        <v>223</v>
      </c>
      <c r="F112" t="s">
        <v>223</v>
      </c>
      <c r="G112" t="s">
        <v>88</v>
      </c>
      <c r="H112" t="s">
        <v>88</v>
      </c>
      <c r="I112">
        <v>0</v>
      </c>
      <c r="J112">
        <v>6.74</v>
      </c>
      <c r="K112">
        <v>0</v>
      </c>
      <c r="L112">
        <v>0</v>
      </c>
      <c r="M112">
        <v>0</v>
      </c>
      <c r="N112">
        <v>0</v>
      </c>
      <c r="O112">
        <v>0</v>
      </c>
      <c r="P112">
        <v>0</v>
      </c>
    </row>
    <row r="113" spans="1:16" x14ac:dyDescent="0.25">
      <c r="A113">
        <v>48</v>
      </c>
      <c r="B113" t="s">
        <v>1</v>
      </c>
      <c r="C113" t="s">
        <v>224</v>
      </c>
      <c r="D113" t="s">
        <v>62</v>
      </c>
      <c r="E113" t="s">
        <v>225</v>
      </c>
      <c r="F113" t="s">
        <v>225</v>
      </c>
      <c r="G113" t="s">
        <v>88</v>
      </c>
      <c r="H113" t="s">
        <v>88</v>
      </c>
      <c r="I113">
        <v>0</v>
      </c>
      <c r="J113">
        <v>8.33</v>
      </c>
      <c r="K113">
        <v>0</v>
      </c>
      <c r="L113">
        <v>0</v>
      </c>
      <c r="M113">
        <v>0</v>
      </c>
      <c r="N113">
        <v>0</v>
      </c>
      <c r="O113">
        <v>0</v>
      </c>
      <c r="P113">
        <v>0</v>
      </c>
    </row>
    <row r="114" spans="1:16" x14ac:dyDescent="0.25">
      <c r="A114">
        <v>49</v>
      </c>
      <c r="B114" t="s">
        <v>1</v>
      </c>
      <c r="C114" t="s">
        <v>226</v>
      </c>
      <c r="D114" t="s">
        <v>62</v>
      </c>
      <c r="E114" t="s">
        <v>227</v>
      </c>
      <c r="F114" t="s">
        <v>227</v>
      </c>
      <c r="G114" t="s">
        <v>88</v>
      </c>
      <c r="H114" t="s">
        <v>88</v>
      </c>
      <c r="I114">
        <v>0</v>
      </c>
      <c r="J114">
        <v>8.86</v>
      </c>
      <c r="K114">
        <v>0</v>
      </c>
      <c r="L114">
        <v>0</v>
      </c>
      <c r="M114">
        <v>0</v>
      </c>
      <c r="N114">
        <v>0</v>
      </c>
      <c r="O114">
        <v>0</v>
      </c>
      <c r="P114">
        <v>0</v>
      </c>
    </row>
    <row r="115" spans="1:16" x14ac:dyDescent="0.25">
      <c r="A115">
        <v>50</v>
      </c>
      <c r="B115" t="s">
        <v>1</v>
      </c>
      <c r="C115" t="s">
        <v>228</v>
      </c>
      <c r="D115" t="s">
        <v>62</v>
      </c>
      <c r="E115" t="s">
        <v>229</v>
      </c>
      <c r="F115" t="s">
        <v>229</v>
      </c>
      <c r="G115" t="s">
        <v>88</v>
      </c>
      <c r="H115" t="s">
        <v>88</v>
      </c>
      <c r="I115">
        <v>0</v>
      </c>
      <c r="J115">
        <v>10.44</v>
      </c>
      <c r="K115">
        <v>0</v>
      </c>
      <c r="L115">
        <v>0</v>
      </c>
      <c r="M115">
        <v>0</v>
      </c>
      <c r="N115">
        <v>0</v>
      </c>
      <c r="O115">
        <v>0</v>
      </c>
      <c r="P115">
        <v>0</v>
      </c>
    </row>
    <row r="116" spans="1:16" x14ac:dyDescent="0.25">
      <c r="A116">
        <v>51</v>
      </c>
      <c r="B116" t="s">
        <v>1</v>
      </c>
      <c r="C116" t="s">
        <v>230</v>
      </c>
      <c r="D116" t="s">
        <v>62</v>
      </c>
      <c r="E116" t="s">
        <v>231</v>
      </c>
      <c r="F116" t="s">
        <v>231</v>
      </c>
      <c r="G116" t="s">
        <v>88</v>
      </c>
      <c r="H116" t="s">
        <v>88</v>
      </c>
      <c r="I116">
        <v>0</v>
      </c>
      <c r="J116">
        <v>10.98</v>
      </c>
      <c r="K116">
        <v>0</v>
      </c>
      <c r="L116">
        <v>0</v>
      </c>
      <c r="M116">
        <v>0</v>
      </c>
      <c r="N116">
        <v>0</v>
      </c>
      <c r="O116">
        <v>0</v>
      </c>
      <c r="P116">
        <v>0</v>
      </c>
    </row>
    <row r="117" spans="1:16" x14ac:dyDescent="0.25">
      <c r="A117">
        <v>52</v>
      </c>
      <c r="B117" t="s">
        <v>1</v>
      </c>
      <c r="C117" t="s">
        <v>232</v>
      </c>
      <c r="D117" t="s">
        <v>62</v>
      </c>
      <c r="E117" t="s">
        <v>233</v>
      </c>
      <c r="F117" t="s">
        <v>233</v>
      </c>
      <c r="G117" t="s">
        <v>88</v>
      </c>
      <c r="H117" t="s">
        <v>88</v>
      </c>
      <c r="I117">
        <v>0</v>
      </c>
      <c r="J117">
        <v>4.5999999999999996</v>
      </c>
      <c r="K117">
        <v>0</v>
      </c>
      <c r="L117">
        <v>0</v>
      </c>
      <c r="M117">
        <v>0</v>
      </c>
      <c r="N117">
        <v>0</v>
      </c>
      <c r="O117">
        <v>9.9</v>
      </c>
      <c r="P117">
        <v>0</v>
      </c>
    </row>
    <row r="118" spans="1:16" x14ac:dyDescent="0.25">
      <c r="A118">
        <v>54</v>
      </c>
      <c r="B118" t="s">
        <v>1</v>
      </c>
      <c r="C118" t="s">
        <v>234</v>
      </c>
      <c r="D118" t="s">
        <v>62</v>
      </c>
      <c r="G118" t="s">
        <v>64</v>
      </c>
      <c r="H118" t="s">
        <v>64</v>
      </c>
      <c r="I118">
        <v>0</v>
      </c>
      <c r="J118">
        <v>0.3</v>
      </c>
      <c r="K118">
        <v>0.3</v>
      </c>
      <c r="L118">
        <v>0.3</v>
      </c>
      <c r="M118">
        <v>0</v>
      </c>
      <c r="N118">
        <v>0</v>
      </c>
      <c r="O118">
        <v>0</v>
      </c>
      <c r="P118">
        <v>0</v>
      </c>
    </row>
    <row r="119" spans="1:16" x14ac:dyDescent="0.25">
      <c r="A119">
        <v>60</v>
      </c>
      <c r="B119" t="s">
        <v>1</v>
      </c>
      <c r="C119" t="s">
        <v>235</v>
      </c>
      <c r="D119" t="s">
        <v>62</v>
      </c>
      <c r="G119" t="s">
        <v>88</v>
      </c>
      <c r="H119" t="s">
        <v>88</v>
      </c>
      <c r="I119">
        <v>0</v>
      </c>
      <c r="J119">
        <v>6.74</v>
      </c>
      <c r="K119">
        <v>0</v>
      </c>
      <c r="L119">
        <v>0</v>
      </c>
      <c r="M119">
        <v>0</v>
      </c>
      <c r="N119">
        <v>0</v>
      </c>
      <c r="O119">
        <v>0</v>
      </c>
      <c r="P119">
        <v>0</v>
      </c>
    </row>
    <row r="120" spans="1:16" x14ac:dyDescent="0.25">
      <c r="A120">
        <v>61</v>
      </c>
      <c r="B120" t="s">
        <v>1</v>
      </c>
      <c r="C120" t="s">
        <v>236</v>
      </c>
      <c r="D120" t="s">
        <v>62</v>
      </c>
      <c r="G120" t="s">
        <v>88</v>
      </c>
      <c r="H120" t="s">
        <v>88</v>
      </c>
      <c r="I120">
        <v>0</v>
      </c>
      <c r="J120">
        <v>8.86</v>
      </c>
      <c r="K120">
        <v>0</v>
      </c>
      <c r="L120">
        <v>0</v>
      </c>
      <c r="M120">
        <v>0</v>
      </c>
      <c r="N120">
        <v>0</v>
      </c>
      <c r="O120">
        <v>0</v>
      </c>
      <c r="P120">
        <v>0</v>
      </c>
    </row>
    <row r="121" spans="1:16" x14ac:dyDescent="0.25">
      <c r="A121">
        <v>62</v>
      </c>
      <c r="B121" t="s">
        <v>1</v>
      </c>
      <c r="C121" t="s">
        <v>237</v>
      </c>
      <c r="D121" t="s">
        <v>62</v>
      </c>
      <c r="G121" t="s">
        <v>88</v>
      </c>
      <c r="H121" t="s">
        <v>88</v>
      </c>
      <c r="I121">
        <v>0</v>
      </c>
      <c r="J121">
        <v>10.98</v>
      </c>
      <c r="K121">
        <v>0</v>
      </c>
      <c r="L121">
        <v>0</v>
      </c>
      <c r="M121">
        <v>0</v>
      </c>
      <c r="N121">
        <v>0</v>
      </c>
      <c r="O121">
        <v>0</v>
      </c>
      <c r="P121">
        <v>0</v>
      </c>
    </row>
    <row r="122" spans="1:16" x14ac:dyDescent="0.25">
      <c r="A122">
        <v>76</v>
      </c>
      <c r="B122" t="s">
        <v>1</v>
      </c>
      <c r="C122" t="s">
        <v>238</v>
      </c>
      <c r="D122" t="s">
        <v>62</v>
      </c>
      <c r="G122" t="s">
        <v>88</v>
      </c>
      <c r="H122" t="s">
        <v>88</v>
      </c>
      <c r="I122">
        <v>0</v>
      </c>
      <c r="J122">
        <v>5.6</v>
      </c>
      <c r="K122">
        <v>0</v>
      </c>
      <c r="L122">
        <v>0</v>
      </c>
      <c r="M122">
        <v>0</v>
      </c>
      <c r="N122">
        <v>0</v>
      </c>
      <c r="O122">
        <v>0</v>
      </c>
      <c r="P122">
        <v>0</v>
      </c>
    </row>
    <row r="123" spans="1:16" x14ac:dyDescent="0.25">
      <c r="A123">
        <v>81</v>
      </c>
      <c r="B123" t="s">
        <v>1</v>
      </c>
      <c r="C123" t="s">
        <v>239</v>
      </c>
      <c r="D123" t="s">
        <v>62</v>
      </c>
      <c r="E123" t="s">
        <v>240</v>
      </c>
      <c r="F123" t="s">
        <v>240</v>
      </c>
      <c r="G123" t="s">
        <v>88</v>
      </c>
      <c r="H123" t="s">
        <v>88</v>
      </c>
      <c r="I123">
        <v>0</v>
      </c>
      <c r="J123">
        <v>5.76</v>
      </c>
      <c r="K123">
        <v>0</v>
      </c>
      <c r="L123">
        <v>0</v>
      </c>
      <c r="M123">
        <v>0</v>
      </c>
      <c r="N123">
        <v>0</v>
      </c>
      <c r="O123">
        <v>11.9</v>
      </c>
      <c r="P123">
        <v>0</v>
      </c>
    </row>
    <row r="124" spans="1:16" x14ac:dyDescent="0.25">
      <c r="A124">
        <v>82</v>
      </c>
      <c r="B124" t="s">
        <v>1</v>
      </c>
      <c r="C124" t="s">
        <v>241</v>
      </c>
      <c r="D124" t="s">
        <v>62</v>
      </c>
      <c r="E124" t="s">
        <v>242</v>
      </c>
      <c r="F124" t="s">
        <v>242</v>
      </c>
      <c r="G124" t="s">
        <v>88</v>
      </c>
      <c r="H124" t="s">
        <v>88</v>
      </c>
      <c r="I124">
        <v>0</v>
      </c>
      <c r="J124">
        <v>6.33</v>
      </c>
      <c r="K124">
        <v>0</v>
      </c>
      <c r="L124">
        <v>0</v>
      </c>
      <c r="M124">
        <v>0</v>
      </c>
      <c r="N124">
        <v>0</v>
      </c>
      <c r="O124">
        <v>0</v>
      </c>
      <c r="P124">
        <v>0</v>
      </c>
    </row>
    <row r="125" spans="1:16" x14ac:dyDescent="0.25">
      <c r="A125">
        <v>83</v>
      </c>
      <c r="B125" t="s">
        <v>1</v>
      </c>
      <c r="C125" t="s">
        <v>243</v>
      </c>
      <c r="D125" t="s">
        <v>62</v>
      </c>
      <c r="E125" t="s">
        <v>244</v>
      </c>
      <c r="F125" t="s">
        <v>244</v>
      </c>
      <c r="G125" t="s">
        <v>88</v>
      </c>
      <c r="H125" t="s">
        <v>88</v>
      </c>
      <c r="I125">
        <v>0</v>
      </c>
      <c r="J125">
        <v>5.18</v>
      </c>
      <c r="K125">
        <v>0</v>
      </c>
      <c r="L125">
        <v>0</v>
      </c>
      <c r="M125">
        <v>0</v>
      </c>
      <c r="N125">
        <v>0</v>
      </c>
      <c r="O125">
        <v>0</v>
      </c>
      <c r="P125">
        <v>0</v>
      </c>
    </row>
    <row r="126" spans="1:16" x14ac:dyDescent="0.25">
      <c r="A126">
        <v>98</v>
      </c>
      <c r="B126" t="s">
        <v>1</v>
      </c>
      <c r="C126" t="s">
        <v>245</v>
      </c>
      <c r="D126" t="s">
        <v>62</v>
      </c>
      <c r="F126" t="s">
        <v>163</v>
      </c>
      <c r="G126" t="s">
        <v>88</v>
      </c>
      <c r="H126" t="s">
        <v>88</v>
      </c>
      <c r="I126">
        <v>0</v>
      </c>
      <c r="J126">
        <v>9.01</v>
      </c>
      <c r="K126">
        <v>0</v>
      </c>
      <c r="L126">
        <v>0</v>
      </c>
      <c r="M126">
        <v>0</v>
      </c>
      <c r="N126">
        <v>0</v>
      </c>
      <c r="O126">
        <v>0</v>
      </c>
      <c r="P126">
        <v>0</v>
      </c>
    </row>
    <row r="127" spans="1:16" x14ac:dyDescent="0.25">
      <c r="A127">
        <v>101</v>
      </c>
      <c r="B127" t="s">
        <v>1</v>
      </c>
      <c r="C127" t="s">
        <v>246</v>
      </c>
      <c r="D127" t="s">
        <v>62</v>
      </c>
      <c r="E127" t="s">
        <v>247</v>
      </c>
      <c r="F127" t="s">
        <v>248</v>
      </c>
      <c r="G127" t="s">
        <v>88</v>
      </c>
      <c r="H127" t="s">
        <v>88</v>
      </c>
      <c r="I127">
        <v>0</v>
      </c>
      <c r="J127">
        <v>6.21</v>
      </c>
      <c r="K127">
        <v>0</v>
      </c>
      <c r="L127">
        <v>0</v>
      </c>
      <c r="M127">
        <v>0</v>
      </c>
      <c r="N127">
        <v>0</v>
      </c>
      <c r="O127">
        <v>12.9</v>
      </c>
      <c r="P127">
        <v>0</v>
      </c>
    </row>
    <row r="128" spans="1:16" x14ac:dyDescent="0.25">
      <c r="A128">
        <v>102</v>
      </c>
      <c r="B128" t="s">
        <v>1</v>
      </c>
      <c r="C128" t="s">
        <v>249</v>
      </c>
      <c r="D128" t="s">
        <v>62</v>
      </c>
      <c r="E128" t="s">
        <v>250</v>
      </c>
      <c r="F128" t="s">
        <v>251</v>
      </c>
      <c r="G128" t="s">
        <v>88</v>
      </c>
      <c r="H128" t="s">
        <v>88</v>
      </c>
      <c r="I128">
        <v>0</v>
      </c>
      <c r="J128">
        <v>6.79</v>
      </c>
      <c r="K128">
        <v>0</v>
      </c>
      <c r="L128">
        <v>0</v>
      </c>
      <c r="M128">
        <v>0</v>
      </c>
      <c r="N128">
        <v>0</v>
      </c>
      <c r="O128">
        <v>13.9</v>
      </c>
      <c r="P128">
        <v>0</v>
      </c>
    </row>
    <row r="129" spans="1:16" x14ac:dyDescent="0.25">
      <c r="A129">
        <v>103</v>
      </c>
      <c r="B129" t="s">
        <v>1</v>
      </c>
      <c r="C129" t="s">
        <v>252</v>
      </c>
      <c r="D129" t="s">
        <v>62</v>
      </c>
      <c r="E129" t="s">
        <v>253</v>
      </c>
      <c r="F129" t="s">
        <v>253</v>
      </c>
      <c r="G129" t="s">
        <v>88</v>
      </c>
      <c r="H129" t="s">
        <v>88</v>
      </c>
      <c r="I129">
        <v>0</v>
      </c>
      <c r="J129">
        <v>8.33</v>
      </c>
      <c r="K129">
        <v>0</v>
      </c>
      <c r="L129">
        <v>0</v>
      </c>
      <c r="M129">
        <v>0</v>
      </c>
      <c r="N129">
        <v>0</v>
      </c>
      <c r="O129">
        <v>0</v>
      </c>
      <c r="P129">
        <v>0</v>
      </c>
    </row>
    <row r="130" spans="1:16" x14ac:dyDescent="0.25">
      <c r="A130">
        <v>104</v>
      </c>
      <c r="B130" t="s">
        <v>1</v>
      </c>
      <c r="C130" t="s">
        <v>254</v>
      </c>
      <c r="D130" t="s">
        <v>62</v>
      </c>
      <c r="E130" t="s">
        <v>255</v>
      </c>
      <c r="F130" t="s">
        <v>256</v>
      </c>
      <c r="G130" t="s">
        <v>88</v>
      </c>
      <c r="H130" t="s">
        <v>88</v>
      </c>
      <c r="I130">
        <v>0</v>
      </c>
      <c r="J130">
        <v>8.91</v>
      </c>
      <c r="K130">
        <v>0</v>
      </c>
      <c r="L130">
        <v>0</v>
      </c>
      <c r="M130">
        <v>0</v>
      </c>
      <c r="N130">
        <v>0</v>
      </c>
      <c r="O130">
        <v>19.899999999999999</v>
      </c>
      <c r="P130">
        <v>0</v>
      </c>
    </row>
    <row r="131" spans="1:16" x14ac:dyDescent="0.25">
      <c r="A131">
        <v>105</v>
      </c>
      <c r="B131" t="s">
        <v>1</v>
      </c>
      <c r="C131" t="s">
        <v>257</v>
      </c>
      <c r="D131" t="s">
        <v>62</v>
      </c>
      <c r="E131" t="s">
        <v>258</v>
      </c>
      <c r="F131" t="s">
        <v>258</v>
      </c>
      <c r="G131" t="s">
        <v>88</v>
      </c>
      <c r="H131" t="s">
        <v>88</v>
      </c>
      <c r="I131">
        <v>0</v>
      </c>
      <c r="J131">
        <v>10.44</v>
      </c>
      <c r="K131">
        <v>0</v>
      </c>
      <c r="L131">
        <v>0</v>
      </c>
      <c r="M131">
        <v>0</v>
      </c>
      <c r="N131">
        <v>0</v>
      </c>
      <c r="O131">
        <v>0</v>
      </c>
      <c r="P131">
        <v>0</v>
      </c>
    </row>
    <row r="132" spans="1:16" x14ac:dyDescent="0.25">
      <c r="A132">
        <v>106</v>
      </c>
      <c r="B132" t="s">
        <v>1</v>
      </c>
      <c r="C132" t="s">
        <v>259</v>
      </c>
      <c r="D132" t="s">
        <v>62</v>
      </c>
      <c r="E132" t="s">
        <v>260</v>
      </c>
      <c r="F132" t="s">
        <v>261</v>
      </c>
      <c r="G132" t="s">
        <v>88</v>
      </c>
      <c r="H132" t="s">
        <v>88</v>
      </c>
      <c r="I132">
        <v>0</v>
      </c>
      <c r="J132">
        <v>11.03</v>
      </c>
      <c r="K132">
        <v>0</v>
      </c>
      <c r="L132">
        <v>0</v>
      </c>
      <c r="M132">
        <v>0</v>
      </c>
      <c r="N132">
        <v>0</v>
      </c>
      <c r="O132">
        <v>22.9</v>
      </c>
      <c r="P132">
        <v>0</v>
      </c>
    </row>
    <row r="133" spans="1:16" x14ac:dyDescent="0.25">
      <c r="A133">
        <v>107</v>
      </c>
      <c r="B133" t="s">
        <v>1</v>
      </c>
      <c r="C133" t="s">
        <v>262</v>
      </c>
      <c r="D133" t="s">
        <v>62</v>
      </c>
      <c r="E133" t="s">
        <v>263</v>
      </c>
      <c r="F133" t="s">
        <v>264</v>
      </c>
      <c r="G133" t="s">
        <v>88</v>
      </c>
      <c r="H133" t="s">
        <v>88</v>
      </c>
      <c r="I133">
        <v>0</v>
      </c>
      <c r="J133">
        <v>4.5999999999999996</v>
      </c>
      <c r="K133">
        <v>0</v>
      </c>
      <c r="L133">
        <v>0</v>
      </c>
      <c r="M133">
        <v>0</v>
      </c>
      <c r="N133">
        <v>0</v>
      </c>
      <c r="O133">
        <v>9.9</v>
      </c>
      <c r="P133">
        <v>0</v>
      </c>
    </row>
    <row r="134" spans="1:16" x14ac:dyDescent="0.25">
      <c r="A134">
        <v>108</v>
      </c>
      <c r="B134" t="s">
        <v>1</v>
      </c>
      <c r="C134" t="s">
        <v>265</v>
      </c>
      <c r="D134" t="s">
        <v>62</v>
      </c>
      <c r="E134" t="s">
        <v>266</v>
      </c>
      <c r="F134" t="s">
        <v>267</v>
      </c>
      <c r="G134" t="s">
        <v>88</v>
      </c>
      <c r="H134" t="s">
        <v>88</v>
      </c>
      <c r="I134">
        <v>0</v>
      </c>
      <c r="J134">
        <v>5.75</v>
      </c>
      <c r="K134">
        <v>0</v>
      </c>
      <c r="L134">
        <v>0</v>
      </c>
      <c r="M134">
        <v>0</v>
      </c>
      <c r="N134">
        <v>0</v>
      </c>
      <c r="O134">
        <v>11.9</v>
      </c>
      <c r="P134">
        <v>0</v>
      </c>
    </row>
    <row r="135" spans="1:16" x14ac:dyDescent="0.25">
      <c r="A135">
        <v>109</v>
      </c>
      <c r="B135" t="s">
        <v>1</v>
      </c>
      <c r="C135" t="s">
        <v>268</v>
      </c>
      <c r="D135" t="s">
        <v>62</v>
      </c>
      <c r="E135" t="s">
        <v>269</v>
      </c>
      <c r="F135" t="s">
        <v>269</v>
      </c>
      <c r="G135" t="s">
        <v>88</v>
      </c>
      <c r="H135" t="s">
        <v>88</v>
      </c>
      <c r="I135">
        <v>0</v>
      </c>
      <c r="J135">
        <v>6.34</v>
      </c>
      <c r="K135">
        <v>0</v>
      </c>
      <c r="L135">
        <v>0</v>
      </c>
      <c r="M135">
        <v>0</v>
      </c>
      <c r="N135">
        <v>0</v>
      </c>
      <c r="O135">
        <v>0</v>
      </c>
      <c r="P135">
        <v>0</v>
      </c>
    </row>
    <row r="136" spans="1:16" x14ac:dyDescent="0.25">
      <c r="A136">
        <v>110</v>
      </c>
      <c r="B136" t="s">
        <v>1</v>
      </c>
      <c r="C136" t="s">
        <v>270</v>
      </c>
      <c r="D136" t="s">
        <v>62</v>
      </c>
      <c r="E136" t="s">
        <v>271</v>
      </c>
      <c r="F136" t="s">
        <v>272</v>
      </c>
      <c r="G136" t="s">
        <v>88</v>
      </c>
      <c r="H136" t="s">
        <v>88</v>
      </c>
      <c r="I136">
        <v>0</v>
      </c>
      <c r="J136">
        <v>5.18</v>
      </c>
      <c r="K136">
        <v>0</v>
      </c>
      <c r="L136">
        <v>0</v>
      </c>
      <c r="M136">
        <v>0</v>
      </c>
      <c r="N136">
        <v>0</v>
      </c>
      <c r="O136">
        <v>10.9</v>
      </c>
      <c r="P136">
        <v>0</v>
      </c>
    </row>
    <row r="137" spans="1:16" x14ac:dyDescent="0.25">
      <c r="A137">
        <v>130</v>
      </c>
      <c r="B137" t="s">
        <v>1</v>
      </c>
      <c r="C137" t="s">
        <v>273</v>
      </c>
      <c r="D137" t="s">
        <v>62</v>
      </c>
      <c r="G137" t="s">
        <v>88</v>
      </c>
      <c r="H137" t="s">
        <v>88</v>
      </c>
      <c r="I137">
        <v>0</v>
      </c>
      <c r="J137">
        <v>11.7</v>
      </c>
      <c r="K137">
        <v>0</v>
      </c>
      <c r="L137">
        <v>0</v>
      </c>
      <c r="M137">
        <v>0</v>
      </c>
      <c r="N137">
        <v>0</v>
      </c>
      <c r="O137">
        <v>0</v>
      </c>
      <c r="P137">
        <v>0</v>
      </c>
    </row>
    <row r="138" spans="1:16" x14ac:dyDescent="0.25">
      <c r="A138">
        <v>146</v>
      </c>
      <c r="B138" t="s">
        <v>1</v>
      </c>
      <c r="C138" t="s">
        <v>274</v>
      </c>
      <c r="D138" t="s">
        <v>62</v>
      </c>
      <c r="F138" t="s">
        <v>275</v>
      </c>
      <c r="G138" t="s">
        <v>88</v>
      </c>
      <c r="H138" t="s">
        <v>88</v>
      </c>
      <c r="I138">
        <v>0</v>
      </c>
      <c r="J138">
        <v>19.899999999999999</v>
      </c>
      <c r="K138">
        <v>0</v>
      </c>
      <c r="L138">
        <v>0</v>
      </c>
      <c r="M138">
        <v>0</v>
      </c>
      <c r="N138">
        <v>0</v>
      </c>
      <c r="O138">
        <v>0</v>
      </c>
      <c r="P138">
        <v>0</v>
      </c>
    </row>
    <row r="139" spans="1:16" x14ac:dyDescent="0.25">
      <c r="A139">
        <v>148</v>
      </c>
      <c r="B139" t="s">
        <v>1</v>
      </c>
      <c r="C139" t="s">
        <v>276</v>
      </c>
      <c r="D139" t="s">
        <v>62</v>
      </c>
      <c r="G139" t="s">
        <v>88</v>
      </c>
      <c r="H139" t="s">
        <v>88</v>
      </c>
      <c r="I139">
        <v>0</v>
      </c>
      <c r="J139">
        <v>4.18</v>
      </c>
      <c r="K139">
        <v>0</v>
      </c>
      <c r="L139">
        <v>0</v>
      </c>
      <c r="M139">
        <v>0</v>
      </c>
      <c r="N139">
        <v>0</v>
      </c>
      <c r="O139">
        <v>0</v>
      </c>
      <c r="P139">
        <v>0</v>
      </c>
    </row>
    <row r="140" spans="1:16" x14ac:dyDescent="0.25">
      <c r="A140">
        <v>149</v>
      </c>
      <c r="B140" t="s">
        <v>1</v>
      </c>
      <c r="C140" t="s">
        <v>277</v>
      </c>
      <c r="D140" t="s">
        <v>62</v>
      </c>
      <c r="G140" t="s">
        <v>88</v>
      </c>
      <c r="H140" t="s">
        <v>88</v>
      </c>
      <c r="I140">
        <v>0</v>
      </c>
      <c r="J140">
        <v>4.5999999999999996</v>
      </c>
      <c r="K140">
        <v>0</v>
      </c>
      <c r="L140">
        <v>0</v>
      </c>
      <c r="M140">
        <v>0</v>
      </c>
      <c r="N140">
        <v>0</v>
      </c>
      <c r="O140">
        <v>0</v>
      </c>
      <c r="P140">
        <v>0</v>
      </c>
    </row>
    <row r="141" spans="1:16" x14ac:dyDescent="0.25">
      <c r="A141">
        <v>150</v>
      </c>
      <c r="B141" t="s">
        <v>1</v>
      </c>
      <c r="C141" t="s">
        <v>278</v>
      </c>
      <c r="D141" t="s">
        <v>62</v>
      </c>
      <c r="G141" t="s">
        <v>88</v>
      </c>
      <c r="H141" t="s">
        <v>88</v>
      </c>
      <c r="I141">
        <v>0</v>
      </c>
      <c r="J141">
        <v>5.76</v>
      </c>
      <c r="K141">
        <v>0</v>
      </c>
      <c r="L141">
        <v>0</v>
      </c>
      <c r="M141">
        <v>0</v>
      </c>
      <c r="N141">
        <v>0</v>
      </c>
      <c r="O141">
        <v>0</v>
      </c>
      <c r="P141">
        <v>0</v>
      </c>
    </row>
    <row r="142" spans="1:16" x14ac:dyDescent="0.25">
      <c r="A142">
        <v>151</v>
      </c>
      <c r="B142" t="s">
        <v>1</v>
      </c>
      <c r="C142" t="s">
        <v>279</v>
      </c>
      <c r="D142" t="s">
        <v>62</v>
      </c>
      <c r="G142" t="s">
        <v>88</v>
      </c>
      <c r="H142" t="s">
        <v>88</v>
      </c>
      <c r="I142">
        <v>0</v>
      </c>
      <c r="J142">
        <v>6.21</v>
      </c>
      <c r="K142">
        <v>0</v>
      </c>
      <c r="L142">
        <v>0</v>
      </c>
      <c r="M142">
        <v>0</v>
      </c>
      <c r="N142">
        <v>0</v>
      </c>
      <c r="O142">
        <v>0</v>
      </c>
      <c r="P142">
        <v>0</v>
      </c>
    </row>
    <row r="143" spans="1:16" x14ac:dyDescent="0.25">
      <c r="A143">
        <v>152</v>
      </c>
      <c r="B143" t="s">
        <v>1</v>
      </c>
      <c r="C143" t="s">
        <v>280</v>
      </c>
      <c r="D143" t="s">
        <v>62</v>
      </c>
      <c r="G143" t="s">
        <v>88</v>
      </c>
      <c r="H143" t="s">
        <v>88</v>
      </c>
      <c r="I143">
        <v>0</v>
      </c>
      <c r="J143">
        <v>6.79</v>
      </c>
      <c r="K143">
        <v>0</v>
      </c>
      <c r="L143">
        <v>0</v>
      </c>
      <c r="M143">
        <v>0</v>
      </c>
      <c r="N143">
        <v>0</v>
      </c>
      <c r="O143">
        <v>0</v>
      </c>
      <c r="P143">
        <v>0</v>
      </c>
    </row>
    <row r="144" spans="1:16" x14ac:dyDescent="0.25">
      <c r="A144">
        <v>154</v>
      </c>
      <c r="B144" t="s">
        <v>1</v>
      </c>
      <c r="C144" t="s">
        <v>281</v>
      </c>
      <c r="D144" t="s">
        <v>62</v>
      </c>
      <c r="G144" t="s">
        <v>88</v>
      </c>
      <c r="H144" t="s">
        <v>88</v>
      </c>
      <c r="I144">
        <v>0</v>
      </c>
      <c r="J144">
        <v>12.18</v>
      </c>
      <c r="K144">
        <v>0</v>
      </c>
      <c r="L144">
        <v>0</v>
      </c>
      <c r="M144">
        <v>0</v>
      </c>
      <c r="N144">
        <v>0</v>
      </c>
      <c r="O144">
        <v>0</v>
      </c>
      <c r="P144">
        <v>0</v>
      </c>
    </row>
    <row r="145" spans="1:16" x14ac:dyDescent="0.25">
      <c r="A145">
        <v>155</v>
      </c>
      <c r="B145" t="s">
        <v>1</v>
      </c>
      <c r="C145" t="s">
        <v>282</v>
      </c>
      <c r="D145" t="s">
        <v>62</v>
      </c>
      <c r="G145" t="s">
        <v>88</v>
      </c>
      <c r="H145" t="s">
        <v>88</v>
      </c>
      <c r="I145">
        <v>0</v>
      </c>
      <c r="J145">
        <v>9.49</v>
      </c>
      <c r="K145">
        <v>0</v>
      </c>
      <c r="L145">
        <v>0</v>
      </c>
      <c r="M145">
        <v>0</v>
      </c>
      <c r="N145">
        <v>0</v>
      </c>
      <c r="O145">
        <v>0</v>
      </c>
      <c r="P145">
        <v>0</v>
      </c>
    </row>
    <row r="146" spans="1:16" x14ac:dyDescent="0.25">
      <c r="A146">
        <v>157</v>
      </c>
      <c r="B146" t="s">
        <v>1</v>
      </c>
      <c r="C146" t="s">
        <v>283</v>
      </c>
      <c r="D146" t="s">
        <v>62</v>
      </c>
      <c r="G146" t="s">
        <v>88</v>
      </c>
      <c r="H146" t="s">
        <v>88</v>
      </c>
      <c r="I146">
        <v>0</v>
      </c>
      <c r="J146">
        <v>8</v>
      </c>
      <c r="K146">
        <v>0</v>
      </c>
      <c r="L146">
        <v>0</v>
      </c>
      <c r="M146">
        <v>0</v>
      </c>
      <c r="N146">
        <v>0</v>
      </c>
      <c r="O146">
        <v>0</v>
      </c>
      <c r="P146">
        <v>0</v>
      </c>
    </row>
    <row r="147" spans="1:16" ht="180" x14ac:dyDescent="0.25">
      <c r="A147">
        <v>219</v>
      </c>
      <c r="B147" t="s">
        <v>1</v>
      </c>
      <c r="C147" t="s">
        <v>284</v>
      </c>
      <c r="D147" t="s">
        <v>62</v>
      </c>
      <c r="F147" s="1" t="s">
        <v>285</v>
      </c>
      <c r="G147" t="s">
        <v>88</v>
      </c>
      <c r="H147" t="s">
        <v>88</v>
      </c>
      <c r="I147">
        <v>0</v>
      </c>
      <c r="J147">
        <v>3.94</v>
      </c>
      <c r="K147">
        <v>4.18</v>
      </c>
      <c r="L147">
        <v>0</v>
      </c>
      <c r="M147">
        <v>0</v>
      </c>
      <c r="N147">
        <v>0</v>
      </c>
      <c r="O147">
        <v>0</v>
      </c>
      <c r="P147">
        <v>0</v>
      </c>
    </row>
    <row r="148" spans="1:16" ht="180" x14ac:dyDescent="0.25">
      <c r="A148">
        <v>220</v>
      </c>
      <c r="B148" t="s">
        <v>1</v>
      </c>
      <c r="C148" t="s">
        <v>286</v>
      </c>
      <c r="D148" t="s">
        <v>62</v>
      </c>
      <c r="F148" s="1" t="s">
        <v>285</v>
      </c>
      <c r="G148" t="s">
        <v>88</v>
      </c>
      <c r="H148" t="s">
        <v>88</v>
      </c>
      <c r="I148">
        <v>0</v>
      </c>
      <c r="J148">
        <v>4.6399999999999997</v>
      </c>
      <c r="K148">
        <v>0</v>
      </c>
      <c r="L148">
        <v>0</v>
      </c>
      <c r="M148">
        <v>0</v>
      </c>
      <c r="N148">
        <v>0</v>
      </c>
      <c r="O148">
        <v>0</v>
      </c>
      <c r="P148">
        <v>0</v>
      </c>
    </row>
    <row r="149" spans="1:16" ht="195" x14ac:dyDescent="0.25">
      <c r="A149">
        <v>242</v>
      </c>
      <c r="B149" t="s">
        <v>1</v>
      </c>
      <c r="C149" t="s">
        <v>287</v>
      </c>
      <c r="D149" t="s">
        <v>62</v>
      </c>
      <c r="F149" s="1" t="s">
        <v>288</v>
      </c>
      <c r="G149" t="s">
        <v>88</v>
      </c>
      <c r="H149" t="s">
        <v>88</v>
      </c>
      <c r="I149">
        <v>6.57</v>
      </c>
      <c r="J149">
        <v>5.26</v>
      </c>
      <c r="K149">
        <v>5.26</v>
      </c>
      <c r="L149">
        <v>5.26</v>
      </c>
      <c r="M149">
        <v>9</v>
      </c>
      <c r="N149">
        <v>11</v>
      </c>
      <c r="O149">
        <v>14</v>
      </c>
      <c r="P149">
        <v>0</v>
      </c>
    </row>
    <row r="150" spans="1:16" hidden="1" x14ac:dyDescent="0.25">
      <c r="A150">
        <v>94</v>
      </c>
      <c r="B150" t="s">
        <v>21</v>
      </c>
      <c r="C150" t="s">
        <v>289</v>
      </c>
      <c r="D150" t="s">
        <v>86</v>
      </c>
      <c r="G150" t="s">
        <v>88</v>
      </c>
      <c r="H150" t="s">
        <v>88</v>
      </c>
      <c r="I150">
        <v>0</v>
      </c>
      <c r="J150">
        <v>4.5999999999999996</v>
      </c>
      <c r="K150">
        <v>0</v>
      </c>
      <c r="L150">
        <v>0</v>
      </c>
      <c r="M150">
        <v>0</v>
      </c>
      <c r="N150">
        <v>0</v>
      </c>
      <c r="O150">
        <v>0</v>
      </c>
      <c r="P150">
        <v>0</v>
      </c>
    </row>
    <row r="151" spans="1:16" hidden="1" x14ac:dyDescent="0.25">
      <c r="A151">
        <v>95</v>
      </c>
      <c r="B151" t="s">
        <v>21</v>
      </c>
      <c r="C151" t="s">
        <v>290</v>
      </c>
      <c r="D151" t="s">
        <v>86</v>
      </c>
      <c r="G151" t="s">
        <v>88</v>
      </c>
      <c r="H151" t="s">
        <v>88</v>
      </c>
      <c r="I151">
        <v>0</v>
      </c>
      <c r="J151">
        <v>6.21</v>
      </c>
      <c r="K151">
        <v>0</v>
      </c>
      <c r="L151">
        <v>0</v>
      </c>
      <c r="M151">
        <v>0</v>
      </c>
      <c r="N151">
        <v>0</v>
      </c>
      <c r="O151">
        <v>0</v>
      </c>
      <c r="P151">
        <v>0</v>
      </c>
    </row>
    <row r="152" spans="1:16" hidden="1" x14ac:dyDescent="0.25">
      <c r="A152">
        <v>96</v>
      </c>
      <c r="B152" t="s">
        <v>21</v>
      </c>
      <c r="C152" t="s">
        <v>291</v>
      </c>
      <c r="D152" t="s">
        <v>86</v>
      </c>
      <c r="G152" t="s">
        <v>88</v>
      </c>
      <c r="H152" t="s">
        <v>88</v>
      </c>
      <c r="I152">
        <v>0</v>
      </c>
      <c r="J152">
        <v>8.91</v>
      </c>
      <c r="K152">
        <v>0</v>
      </c>
      <c r="L152">
        <v>0</v>
      </c>
      <c r="M152">
        <v>0</v>
      </c>
      <c r="N152">
        <v>0</v>
      </c>
      <c r="O152">
        <v>0</v>
      </c>
      <c r="P152">
        <v>0</v>
      </c>
    </row>
    <row r="153" spans="1:16" hidden="1" x14ac:dyDescent="0.25">
      <c r="A153">
        <v>111</v>
      </c>
      <c r="B153" t="s">
        <v>21</v>
      </c>
      <c r="C153" t="s">
        <v>292</v>
      </c>
      <c r="D153" t="s">
        <v>62</v>
      </c>
      <c r="F153" t="s">
        <v>123</v>
      </c>
      <c r="G153" t="s">
        <v>88</v>
      </c>
      <c r="H153" t="s">
        <v>88</v>
      </c>
      <c r="I153">
        <v>0</v>
      </c>
      <c r="J153">
        <v>4.5999999999999996</v>
      </c>
      <c r="K153">
        <v>0</v>
      </c>
      <c r="L153">
        <v>0</v>
      </c>
      <c r="M153">
        <v>0</v>
      </c>
      <c r="N153">
        <v>0</v>
      </c>
      <c r="O153">
        <v>0</v>
      </c>
      <c r="P153">
        <v>0</v>
      </c>
    </row>
    <row r="154" spans="1:16" hidden="1" x14ac:dyDescent="0.25">
      <c r="A154">
        <v>112</v>
      </c>
      <c r="B154" t="s">
        <v>21</v>
      </c>
      <c r="C154" t="s">
        <v>293</v>
      </c>
      <c r="D154" t="s">
        <v>62</v>
      </c>
      <c r="F154" t="s">
        <v>123</v>
      </c>
      <c r="G154" t="s">
        <v>88</v>
      </c>
      <c r="H154" t="s">
        <v>88</v>
      </c>
      <c r="I154">
        <v>0</v>
      </c>
      <c r="J154">
        <v>6.21</v>
      </c>
      <c r="K154">
        <v>0</v>
      </c>
      <c r="L154">
        <v>0</v>
      </c>
      <c r="M154">
        <v>0</v>
      </c>
      <c r="N154">
        <v>0</v>
      </c>
      <c r="O154">
        <v>0</v>
      </c>
      <c r="P154">
        <v>0</v>
      </c>
    </row>
    <row r="155" spans="1:16" hidden="1" x14ac:dyDescent="0.25">
      <c r="A155">
        <v>113</v>
      </c>
      <c r="B155" t="s">
        <v>21</v>
      </c>
      <c r="C155" t="s">
        <v>294</v>
      </c>
      <c r="D155" t="s">
        <v>62</v>
      </c>
      <c r="F155" t="s">
        <v>123</v>
      </c>
      <c r="G155" t="s">
        <v>88</v>
      </c>
      <c r="H155" t="s">
        <v>88</v>
      </c>
      <c r="I155">
        <v>0</v>
      </c>
      <c r="J155">
        <v>8.91</v>
      </c>
      <c r="K155">
        <v>0</v>
      </c>
      <c r="L155">
        <v>0</v>
      </c>
      <c r="M155">
        <v>0</v>
      </c>
      <c r="N155">
        <v>0</v>
      </c>
      <c r="O155">
        <v>0</v>
      </c>
      <c r="P155">
        <v>0</v>
      </c>
    </row>
    <row r="156" spans="1:16" hidden="1" x14ac:dyDescent="0.25">
      <c r="A156">
        <v>158</v>
      </c>
      <c r="B156" t="s">
        <v>21</v>
      </c>
      <c r="C156" t="s">
        <v>295</v>
      </c>
      <c r="D156" t="s">
        <v>62</v>
      </c>
      <c r="G156" t="s">
        <v>88</v>
      </c>
      <c r="H156" t="s">
        <v>88</v>
      </c>
      <c r="I156">
        <v>0</v>
      </c>
      <c r="J156">
        <v>4.5999999999999996</v>
      </c>
      <c r="K156">
        <v>0</v>
      </c>
      <c r="L156">
        <v>0</v>
      </c>
      <c r="M156">
        <v>0</v>
      </c>
      <c r="N156">
        <v>0</v>
      </c>
      <c r="O156">
        <v>0</v>
      </c>
      <c r="P156">
        <v>0</v>
      </c>
    </row>
    <row r="157" spans="1:16" hidden="1" x14ac:dyDescent="0.25">
      <c r="A157">
        <v>159</v>
      </c>
      <c r="B157" t="s">
        <v>21</v>
      </c>
      <c r="C157" t="s">
        <v>296</v>
      </c>
      <c r="D157" t="s">
        <v>62</v>
      </c>
      <c r="G157" t="s">
        <v>88</v>
      </c>
      <c r="H157" t="s">
        <v>88</v>
      </c>
      <c r="I157">
        <v>0</v>
      </c>
      <c r="J157">
        <v>6.21</v>
      </c>
      <c r="K157">
        <v>0</v>
      </c>
      <c r="L157">
        <v>0</v>
      </c>
      <c r="M157">
        <v>0</v>
      </c>
      <c r="N157">
        <v>0</v>
      </c>
      <c r="O157">
        <v>0</v>
      </c>
      <c r="P157">
        <v>0</v>
      </c>
    </row>
    <row r="158" spans="1:16" hidden="1" x14ac:dyDescent="0.25">
      <c r="A158">
        <v>160</v>
      </c>
      <c r="B158" t="s">
        <v>21</v>
      </c>
      <c r="C158" t="s">
        <v>297</v>
      </c>
      <c r="D158" t="s">
        <v>62</v>
      </c>
      <c r="G158" t="s">
        <v>88</v>
      </c>
      <c r="H158" t="s">
        <v>88</v>
      </c>
      <c r="I158">
        <v>0</v>
      </c>
      <c r="J158">
        <v>9.49</v>
      </c>
      <c r="K158">
        <v>0</v>
      </c>
      <c r="L158">
        <v>0</v>
      </c>
      <c r="M158">
        <v>0</v>
      </c>
      <c r="N158">
        <v>0</v>
      </c>
      <c r="O158">
        <v>0</v>
      </c>
      <c r="P158">
        <v>0</v>
      </c>
    </row>
    <row r="159" spans="1:16" hidden="1" x14ac:dyDescent="0.25">
      <c r="A159">
        <v>181</v>
      </c>
      <c r="B159" t="s">
        <v>21</v>
      </c>
      <c r="C159" t="s">
        <v>298</v>
      </c>
      <c r="D159" t="s">
        <v>62</v>
      </c>
      <c r="G159" t="s">
        <v>88</v>
      </c>
      <c r="H159" t="s">
        <v>88</v>
      </c>
      <c r="I159">
        <v>0</v>
      </c>
      <c r="J159">
        <v>4.5999999999999996</v>
      </c>
      <c r="K159">
        <v>0</v>
      </c>
      <c r="L159">
        <v>0</v>
      </c>
      <c r="M159">
        <v>0</v>
      </c>
      <c r="N159">
        <v>0</v>
      </c>
      <c r="O159">
        <v>0</v>
      </c>
      <c r="P159">
        <v>0</v>
      </c>
    </row>
    <row r="160" spans="1:16" hidden="1" x14ac:dyDescent="0.25">
      <c r="A160">
        <v>188</v>
      </c>
      <c r="B160" t="s">
        <v>21</v>
      </c>
      <c r="C160" t="s">
        <v>299</v>
      </c>
      <c r="D160" t="s">
        <v>62</v>
      </c>
      <c r="G160" t="s">
        <v>88</v>
      </c>
      <c r="H160" t="s">
        <v>88</v>
      </c>
      <c r="I160">
        <v>0</v>
      </c>
      <c r="J160">
        <v>5.76</v>
      </c>
      <c r="K160">
        <v>0</v>
      </c>
      <c r="L160">
        <v>0</v>
      </c>
      <c r="M160">
        <v>0</v>
      </c>
      <c r="N160">
        <v>0</v>
      </c>
      <c r="O160">
        <v>0</v>
      </c>
      <c r="P160">
        <v>0</v>
      </c>
    </row>
    <row r="161" spans="1:16" hidden="1" x14ac:dyDescent="0.25">
      <c r="A161">
        <v>37</v>
      </c>
      <c r="B161" t="s">
        <v>18</v>
      </c>
      <c r="C161" t="s">
        <v>300</v>
      </c>
      <c r="D161" t="s">
        <v>90</v>
      </c>
      <c r="G161" t="s">
        <v>88</v>
      </c>
      <c r="H161" t="s">
        <v>64</v>
      </c>
      <c r="I161">
        <v>0</v>
      </c>
      <c r="J161">
        <v>16.39</v>
      </c>
      <c r="K161">
        <v>16.39</v>
      </c>
      <c r="L161">
        <v>16.39</v>
      </c>
      <c r="M161">
        <v>16.39</v>
      </c>
      <c r="N161">
        <v>16.39</v>
      </c>
      <c r="O161">
        <v>29</v>
      </c>
      <c r="P161">
        <v>0</v>
      </c>
    </row>
    <row r="162" spans="1:16" hidden="1" x14ac:dyDescent="0.25">
      <c r="A162">
        <v>38</v>
      </c>
      <c r="B162" t="s">
        <v>18</v>
      </c>
      <c r="C162" t="s">
        <v>301</v>
      </c>
      <c r="D162" t="s">
        <v>90</v>
      </c>
      <c r="G162" t="s">
        <v>64</v>
      </c>
      <c r="H162" t="s">
        <v>64</v>
      </c>
      <c r="I162">
        <v>0</v>
      </c>
      <c r="J162">
        <v>1.55</v>
      </c>
      <c r="K162">
        <v>1.55</v>
      </c>
      <c r="L162">
        <v>1.55</v>
      </c>
      <c r="M162">
        <v>1.55</v>
      </c>
      <c r="N162">
        <v>1.55</v>
      </c>
      <c r="O162">
        <v>3</v>
      </c>
      <c r="P162">
        <v>0</v>
      </c>
    </row>
    <row r="163" spans="1:16" hidden="1" x14ac:dyDescent="0.25">
      <c r="A163">
        <v>85</v>
      </c>
      <c r="B163" t="s">
        <v>18</v>
      </c>
      <c r="C163" t="s">
        <v>302</v>
      </c>
      <c r="D163" t="s">
        <v>90</v>
      </c>
      <c r="G163" t="s">
        <v>64</v>
      </c>
      <c r="H163" t="s">
        <v>64</v>
      </c>
      <c r="I163">
        <v>0</v>
      </c>
      <c r="J163">
        <v>17.059999999999999</v>
      </c>
      <c r="K163">
        <v>17.059999999999999</v>
      </c>
      <c r="L163">
        <v>17.059999999999999</v>
      </c>
      <c r="M163">
        <v>17.059999999999999</v>
      </c>
      <c r="N163">
        <v>17.059999999999999</v>
      </c>
      <c r="O163">
        <v>19</v>
      </c>
      <c r="P163">
        <v>0</v>
      </c>
    </row>
    <row r="164" spans="1:16" hidden="1" x14ac:dyDescent="0.25">
      <c r="A164">
        <v>131</v>
      </c>
      <c r="B164" t="s">
        <v>18</v>
      </c>
      <c r="C164" t="s">
        <v>303</v>
      </c>
      <c r="D164" t="s">
        <v>72</v>
      </c>
      <c r="G164" t="s">
        <v>88</v>
      </c>
      <c r="H164" t="s">
        <v>88</v>
      </c>
      <c r="I164">
        <v>0</v>
      </c>
      <c r="J164">
        <v>82</v>
      </c>
      <c r="K164">
        <v>82</v>
      </c>
      <c r="L164">
        <v>82</v>
      </c>
      <c r="M164">
        <v>150</v>
      </c>
      <c r="N164">
        <v>150</v>
      </c>
      <c r="O164">
        <v>190</v>
      </c>
      <c r="P164">
        <v>0</v>
      </c>
    </row>
    <row r="165" spans="1:16" hidden="1" x14ac:dyDescent="0.25">
      <c r="A165">
        <v>142</v>
      </c>
      <c r="B165" t="s">
        <v>18</v>
      </c>
      <c r="C165" t="s">
        <v>304</v>
      </c>
      <c r="D165" t="s">
        <v>90</v>
      </c>
      <c r="G165" t="s">
        <v>64</v>
      </c>
      <c r="H165" t="s">
        <v>64</v>
      </c>
      <c r="I165">
        <v>0</v>
      </c>
      <c r="J165">
        <v>1.55</v>
      </c>
      <c r="K165">
        <v>1.55</v>
      </c>
      <c r="L165">
        <v>1.55</v>
      </c>
      <c r="M165">
        <v>1.55</v>
      </c>
      <c r="N165">
        <v>1.55</v>
      </c>
      <c r="O165">
        <v>2</v>
      </c>
      <c r="P165">
        <v>0</v>
      </c>
    </row>
    <row r="166" spans="1:16" hidden="1" x14ac:dyDescent="0.25">
      <c r="A166">
        <v>143</v>
      </c>
      <c r="B166" t="s">
        <v>18</v>
      </c>
      <c r="C166" t="s">
        <v>305</v>
      </c>
      <c r="D166" t="s">
        <v>90</v>
      </c>
      <c r="G166" t="s">
        <v>64</v>
      </c>
      <c r="H166" t="s">
        <v>64</v>
      </c>
      <c r="I166">
        <v>0</v>
      </c>
      <c r="J166">
        <v>15.45</v>
      </c>
      <c r="K166">
        <v>15.45</v>
      </c>
      <c r="L166">
        <v>15.45</v>
      </c>
      <c r="M166">
        <v>15.45</v>
      </c>
      <c r="N166">
        <v>15.45</v>
      </c>
      <c r="O166">
        <v>17</v>
      </c>
      <c r="P166">
        <v>0</v>
      </c>
    </row>
    <row r="167" spans="1:16" hidden="1" x14ac:dyDescent="0.25">
      <c r="A167">
        <v>163</v>
      </c>
      <c r="B167" t="s">
        <v>18</v>
      </c>
      <c r="C167" t="s">
        <v>306</v>
      </c>
      <c r="D167" t="s">
        <v>90</v>
      </c>
      <c r="G167" t="s">
        <v>64</v>
      </c>
      <c r="H167" t="s">
        <v>64</v>
      </c>
      <c r="I167">
        <v>0</v>
      </c>
      <c r="J167">
        <v>35.700000000000003</v>
      </c>
      <c r="K167">
        <v>35.700000000000003</v>
      </c>
      <c r="L167">
        <v>35.700000000000003</v>
      </c>
      <c r="M167">
        <v>35.700000000000003</v>
      </c>
      <c r="N167">
        <v>35.700000000000003</v>
      </c>
      <c r="O167">
        <v>39</v>
      </c>
      <c r="P167">
        <v>0</v>
      </c>
    </row>
    <row r="168" spans="1:16" hidden="1" x14ac:dyDescent="0.25">
      <c r="A168">
        <v>164</v>
      </c>
      <c r="B168" t="s">
        <v>18</v>
      </c>
      <c r="C168" t="s">
        <v>307</v>
      </c>
      <c r="D168" t="s">
        <v>90</v>
      </c>
      <c r="G168" t="s">
        <v>64</v>
      </c>
      <c r="H168" t="s">
        <v>64</v>
      </c>
      <c r="I168">
        <v>0</v>
      </c>
      <c r="J168">
        <v>23.1</v>
      </c>
      <c r="K168">
        <v>23.1</v>
      </c>
      <c r="L168">
        <v>23.1</v>
      </c>
      <c r="M168">
        <v>23.1</v>
      </c>
      <c r="N168">
        <v>23.1</v>
      </c>
      <c r="O168">
        <v>25</v>
      </c>
      <c r="P168">
        <v>0</v>
      </c>
    </row>
    <row r="169" spans="1:16" hidden="1" x14ac:dyDescent="0.25">
      <c r="A169">
        <v>165</v>
      </c>
      <c r="B169" t="s">
        <v>18</v>
      </c>
      <c r="C169" t="s">
        <v>308</v>
      </c>
      <c r="D169" t="s">
        <v>90</v>
      </c>
      <c r="G169" t="s">
        <v>64</v>
      </c>
      <c r="H169" t="s">
        <v>64</v>
      </c>
      <c r="I169">
        <v>0</v>
      </c>
      <c r="J169">
        <v>5</v>
      </c>
      <c r="K169">
        <v>5</v>
      </c>
      <c r="L169">
        <v>5</v>
      </c>
      <c r="M169">
        <v>5</v>
      </c>
      <c r="N169">
        <v>5</v>
      </c>
      <c r="O169">
        <v>6</v>
      </c>
      <c r="P169">
        <v>0</v>
      </c>
    </row>
    <row r="170" spans="1:16" hidden="1" x14ac:dyDescent="0.25">
      <c r="A170">
        <v>198</v>
      </c>
      <c r="B170" t="s">
        <v>18</v>
      </c>
      <c r="C170" t="s">
        <v>309</v>
      </c>
      <c r="D170" t="s">
        <v>90</v>
      </c>
      <c r="G170" t="s">
        <v>64</v>
      </c>
      <c r="H170" t="s">
        <v>64</v>
      </c>
      <c r="I170">
        <v>0</v>
      </c>
      <c r="J170">
        <v>10</v>
      </c>
      <c r="K170">
        <v>10</v>
      </c>
      <c r="L170">
        <v>10</v>
      </c>
      <c r="M170">
        <v>10</v>
      </c>
      <c r="N170">
        <v>10</v>
      </c>
      <c r="O170">
        <v>14</v>
      </c>
      <c r="P170">
        <v>0</v>
      </c>
    </row>
    <row r="171" spans="1:16" hidden="1" x14ac:dyDescent="0.25">
      <c r="A171">
        <v>201</v>
      </c>
      <c r="B171" t="s">
        <v>18</v>
      </c>
      <c r="C171" t="s">
        <v>310</v>
      </c>
      <c r="D171" t="s">
        <v>90</v>
      </c>
      <c r="G171" t="s">
        <v>64</v>
      </c>
      <c r="H171" t="s">
        <v>64</v>
      </c>
      <c r="I171">
        <v>0</v>
      </c>
      <c r="J171">
        <v>37</v>
      </c>
      <c r="K171">
        <v>37</v>
      </c>
      <c r="L171">
        <v>37</v>
      </c>
      <c r="M171">
        <v>37</v>
      </c>
      <c r="N171">
        <v>37</v>
      </c>
      <c r="O171">
        <v>45</v>
      </c>
      <c r="P171">
        <v>0</v>
      </c>
    </row>
    <row r="172" spans="1:16" hidden="1" x14ac:dyDescent="0.25">
      <c r="A172">
        <v>202</v>
      </c>
      <c r="B172" t="s">
        <v>18</v>
      </c>
      <c r="C172" t="s">
        <v>311</v>
      </c>
      <c r="D172" t="s">
        <v>90</v>
      </c>
      <c r="G172" t="s">
        <v>64</v>
      </c>
      <c r="H172" t="s">
        <v>64</v>
      </c>
      <c r="I172">
        <v>0</v>
      </c>
      <c r="J172">
        <v>50</v>
      </c>
      <c r="K172">
        <v>50</v>
      </c>
      <c r="L172">
        <v>50</v>
      </c>
      <c r="M172">
        <v>50</v>
      </c>
      <c r="N172">
        <v>50</v>
      </c>
      <c r="O172">
        <v>60</v>
      </c>
      <c r="P172">
        <v>0</v>
      </c>
    </row>
    <row r="173" spans="1:16" hidden="1" x14ac:dyDescent="0.25">
      <c r="A173">
        <v>203</v>
      </c>
      <c r="B173" t="s">
        <v>18</v>
      </c>
      <c r="C173" t="s">
        <v>312</v>
      </c>
      <c r="D173" t="s">
        <v>90</v>
      </c>
      <c r="G173" t="s">
        <v>64</v>
      </c>
      <c r="H173" t="s">
        <v>64</v>
      </c>
      <c r="I173">
        <v>0</v>
      </c>
      <c r="J173">
        <v>75</v>
      </c>
      <c r="K173">
        <v>75</v>
      </c>
      <c r="L173">
        <v>75</v>
      </c>
      <c r="M173">
        <v>75</v>
      </c>
      <c r="N173">
        <v>75</v>
      </c>
      <c r="O173">
        <v>90</v>
      </c>
      <c r="P173">
        <v>0</v>
      </c>
    </row>
    <row r="174" spans="1:16" hidden="1" x14ac:dyDescent="0.25">
      <c r="A174">
        <v>204</v>
      </c>
      <c r="B174" t="s">
        <v>18</v>
      </c>
      <c r="C174" t="s">
        <v>313</v>
      </c>
      <c r="D174" t="s">
        <v>90</v>
      </c>
      <c r="G174" t="s">
        <v>64</v>
      </c>
      <c r="H174" t="s">
        <v>64</v>
      </c>
      <c r="I174">
        <v>0</v>
      </c>
      <c r="J174">
        <v>100</v>
      </c>
      <c r="K174">
        <v>100</v>
      </c>
      <c r="L174">
        <v>100</v>
      </c>
      <c r="M174">
        <v>100</v>
      </c>
      <c r="N174">
        <v>100</v>
      </c>
      <c r="O174">
        <v>130</v>
      </c>
      <c r="P174">
        <v>0</v>
      </c>
    </row>
    <row r="175" spans="1:16" hidden="1" x14ac:dyDescent="0.25">
      <c r="A175">
        <v>212</v>
      </c>
      <c r="B175" t="s">
        <v>18</v>
      </c>
      <c r="C175" t="s">
        <v>314</v>
      </c>
      <c r="D175" t="s">
        <v>72</v>
      </c>
      <c r="G175" t="s">
        <v>88</v>
      </c>
      <c r="H175" t="s">
        <v>64</v>
      </c>
      <c r="I175">
        <v>0</v>
      </c>
      <c r="J175">
        <v>230</v>
      </c>
      <c r="K175">
        <v>230</v>
      </c>
      <c r="L175">
        <v>230</v>
      </c>
      <c r="M175">
        <v>300</v>
      </c>
      <c r="N175">
        <v>300</v>
      </c>
      <c r="O175">
        <v>350</v>
      </c>
      <c r="P175">
        <v>0</v>
      </c>
    </row>
    <row r="176" spans="1:16" hidden="1" x14ac:dyDescent="0.25">
      <c r="A176">
        <v>218</v>
      </c>
      <c r="B176" t="s">
        <v>22</v>
      </c>
      <c r="C176" t="s">
        <v>315</v>
      </c>
      <c r="D176" t="s">
        <v>86</v>
      </c>
      <c r="G176" t="s">
        <v>88</v>
      </c>
      <c r="H176" t="s">
        <v>64</v>
      </c>
      <c r="I176">
        <v>0</v>
      </c>
      <c r="J176">
        <v>30</v>
      </c>
      <c r="K176">
        <v>15</v>
      </c>
      <c r="L176">
        <v>15</v>
      </c>
      <c r="M176">
        <v>15</v>
      </c>
      <c r="N176">
        <v>15</v>
      </c>
      <c r="O176">
        <v>30</v>
      </c>
      <c r="P176">
        <v>0</v>
      </c>
    </row>
    <row r="177" spans="1:16" hidden="1" x14ac:dyDescent="0.25">
      <c r="A177">
        <v>71</v>
      </c>
      <c r="B177" t="s">
        <v>17</v>
      </c>
      <c r="C177" t="s">
        <v>316</v>
      </c>
      <c r="D177" t="s">
        <v>86</v>
      </c>
      <c r="F177" t="s">
        <v>317</v>
      </c>
      <c r="G177" t="s">
        <v>64</v>
      </c>
      <c r="H177" t="s">
        <v>64</v>
      </c>
      <c r="I177">
        <v>0</v>
      </c>
      <c r="J177">
        <v>103.75</v>
      </c>
      <c r="K177">
        <v>0</v>
      </c>
      <c r="L177">
        <v>0</v>
      </c>
      <c r="M177">
        <v>0</v>
      </c>
      <c r="N177">
        <v>0</v>
      </c>
      <c r="O177">
        <v>0</v>
      </c>
      <c r="P177">
        <v>0</v>
      </c>
    </row>
    <row r="178" spans="1:16" hidden="1" x14ac:dyDescent="0.25">
      <c r="A178">
        <v>125</v>
      </c>
      <c r="B178" t="s">
        <v>17</v>
      </c>
      <c r="C178" t="s">
        <v>318</v>
      </c>
      <c r="D178" t="s">
        <v>86</v>
      </c>
      <c r="F178" t="s">
        <v>319</v>
      </c>
      <c r="G178" t="s">
        <v>88</v>
      </c>
      <c r="H178" t="s">
        <v>88</v>
      </c>
      <c r="I178">
        <v>0</v>
      </c>
      <c r="J178">
        <v>263.75</v>
      </c>
      <c r="K178">
        <v>0</v>
      </c>
      <c r="L178">
        <v>0</v>
      </c>
      <c r="M178">
        <v>0</v>
      </c>
      <c r="N178">
        <v>0</v>
      </c>
      <c r="O178">
        <v>0</v>
      </c>
      <c r="P178">
        <v>0</v>
      </c>
    </row>
    <row r="179" spans="1:16" hidden="1" x14ac:dyDescent="0.25">
      <c r="A179">
        <v>144</v>
      </c>
      <c r="B179" t="s">
        <v>17</v>
      </c>
      <c r="C179" t="s">
        <v>320</v>
      </c>
      <c r="D179" t="s">
        <v>86</v>
      </c>
      <c r="G179" t="s">
        <v>64</v>
      </c>
      <c r="H179" t="s">
        <v>64</v>
      </c>
      <c r="I179">
        <v>0</v>
      </c>
      <c r="J179">
        <v>103.75</v>
      </c>
      <c r="K179">
        <v>0</v>
      </c>
      <c r="L179">
        <v>0</v>
      </c>
      <c r="M179">
        <v>0</v>
      </c>
      <c r="N179">
        <v>0</v>
      </c>
      <c r="O179">
        <v>0</v>
      </c>
      <c r="P179">
        <v>0</v>
      </c>
    </row>
    <row r="180" spans="1:16" hidden="1" x14ac:dyDescent="0.25">
      <c r="A180">
        <v>185</v>
      </c>
      <c r="B180" t="s">
        <v>17</v>
      </c>
      <c r="C180" t="s">
        <v>321</v>
      </c>
      <c r="D180" t="s">
        <v>86</v>
      </c>
      <c r="G180" t="s">
        <v>64</v>
      </c>
      <c r="H180" t="s">
        <v>64</v>
      </c>
      <c r="I180">
        <v>0</v>
      </c>
      <c r="J180">
        <v>10</v>
      </c>
      <c r="K180">
        <v>45</v>
      </c>
      <c r="L180">
        <v>45</v>
      </c>
      <c r="M180">
        <v>95</v>
      </c>
      <c r="N180">
        <v>95</v>
      </c>
      <c r="O180">
        <v>150</v>
      </c>
      <c r="P180">
        <v>0</v>
      </c>
    </row>
    <row r="181" spans="1:16" hidden="1" x14ac:dyDescent="0.25">
      <c r="A181">
        <v>17</v>
      </c>
      <c r="B181" t="s">
        <v>16</v>
      </c>
      <c r="C181" t="s">
        <v>322</v>
      </c>
      <c r="D181" t="s">
        <v>97</v>
      </c>
      <c r="F181" t="s">
        <v>114</v>
      </c>
      <c r="G181" t="s">
        <v>88</v>
      </c>
      <c r="H181" t="s">
        <v>88</v>
      </c>
      <c r="I181">
        <v>0</v>
      </c>
      <c r="J181">
        <v>32</v>
      </c>
      <c r="K181">
        <v>32</v>
      </c>
      <c r="L181">
        <v>32</v>
      </c>
      <c r="M181">
        <v>50</v>
      </c>
      <c r="N181">
        <v>50</v>
      </c>
      <c r="O181">
        <v>60</v>
      </c>
      <c r="P181">
        <v>0</v>
      </c>
    </row>
    <row r="182" spans="1:16" hidden="1" x14ac:dyDescent="0.25">
      <c r="A182">
        <v>33</v>
      </c>
      <c r="B182" t="s">
        <v>16</v>
      </c>
      <c r="C182" t="s">
        <v>323</v>
      </c>
      <c r="D182" t="s">
        <v>97</v>
      </c>
      <c r="F182" t="s">
        <v>324</v>
      </c>
      <c r="G182" t="s">
        <v>64</v>
      </c>
      <c r="H182" t="s">
        <v>64</v>
      </c>
      <c r="I182">
        <v>0</v>
      </c>
      <c r="J182">
        <v>65</v>
      </c>
      <c r="K182">
        <v>65</v>
      </c>
      <c r="L182">
        <v>65</v>
      </c>
      <c r="M182">
        <v>80</v>
      </c>
      <c r="N182">
        <v>80</v>
      </c>
      <c r="O182">
        <v>100</v>
      </c>
      <c r="P182">
        <v>0</v>
      </c>
    </row>
    <row r="183" spans="1:16" hidden="1" x14ac:dyDescent="0.25">
      <c r="A183">
        <v>161</v>
      </c>
      <c r="B183" t="s">
        <v>16</v>
      </c>
      <c r="C183" t="s">
        <v>325</v>
      </c>
      <c r="D183" t="s">
        <v>97</v>
      </c>
      <c r="G183" t="s">
        <v>88</v>
      </c>
      <c r="H183" t="s">
        <v>88</v>
      </c>
      <c r="I183">
        <v>0</v>
      </c>
      <c r="J183">
        <v>32</v>
      </c>
      <c r="K183">
        <v>32</v>
      </c>
      <c r="L183">
        <v>32</v>
      </c>
      <c r="M183">
        <v>50</v>
      </c>
      <c r="N183">
        <v>50</v>
      </c>
      <c r="O183">
        <v>60</v>
      </c>
      <c r="P183">
        <v>0</v>
      </c>
    </row>
    <row r="184" spans="1:16" hidden="1" x14ac:dyDescent="0.25">
      <c r="A184">
        <v>162</v>
      </c>
      <c r="B184" t="s">
        <v>16</v>
      </c>
      <c r="C184" t="s">
        <v>326</v>
      </c>
      <c r="D184" t="s">
        <v>97</v>
      </c>
      <c r="G184" t="s">
        <v>88</v>
      </c>
      <c r="H184" t="s">
        <v>88</v>
      </c>
      <c r="I184">
        <v>0</v>
      </c>
      <c r="J184">
        <v>52</v>
      </c>
      <c r="K184">
        <v>52</v>
      </c>
      <c r="L184">
        <v>52</v>
      </c>
      <c r="M184">
        <v>80</v>
      </c>
      <c r="N184">
        <v>80</v>
      </c>
      <c r="O184">
        <v>100</v>
      </c>
      <c r="P184">
        <v>0</v>
      </c>
    </row>
    <row r="185" spans="1:16" hidden="1" x14ac:dyDescent="0.25">
      <c r="A185">
        <v>191</v>
      </c>
      <c r="B185" t="s">
        <v>16</v>
      </c>
      <c r="C185" t="s">
        <v>327</v>
      </c>
      <c r="D185" t="s">
        <v>97</v>
      </c>
      <c r="G185" t="s">
        <v>88</v>
      </c>
      <c r="H185" t="s">
        <v>88</v>
      </c>
      <c r="I185">
        <v>0</v>
      </c>
      <c r="J185">
        <v>39</v>
      </c>
      <c r="K185">
        <v>39</v>
      </c>
      <c r="L185">
        <v>39</v>
      </c>
      <c r="M185">
        <v>50</v>
      </c>
      <c r="N185">
        <v>50</v>
      </c>
      <c r="O185">
        <v>70</v>
      </c>
      <c r="P185">
        <v>0</v>
      </c>
    </row>
    <row r="186" spans="1:16" hidden="1" x14ac:dyDescent="0.25">
      <c r="A186">
        <v>63</v>
      </c>
      <c r="B186" t="s">
        <v>24</v>
      </c>
      <c r="C186" t="s">
        <v>328</v>
      </c>
      <c r="D186" t="s">
        <v>97</v>
      </c>
      <c r="E186" t="s">
        <v>329</v>
      </c>
      <c r="F186" t="s">
        <v>330</v>
      </c>
      <c r="G186" t="s">
        <v>64</v>
      </c>
      <c r="H186" t="s">
        <v>64</v>
      </c>
      <c r="I186">
        <v>6</v>
      </c>
      <c r="J186">
        <v>6</v>
      </c>
      <c r="K186">
        <v>3.5</v>
      </c>
      <c r="L186">
        <v>3.5</v>
      </c>
      <c r="M186">
        <v>5</v>
      </c>
      <c r="N186">
        <v>5</v>
      </c>
      <c r="O186">
        <v>6</v>
      </c>
      <c r="P186">
        <v>0</v>
      </c>
    </row>
    <row r="187" spans="1:16" hidden="1" x14ac:dyDescent="0.25">
      <c r="A187">
        <v>135</v>
      </c>
      <c r="B187" t="s">
        <v>20</v>
      </c>
      <c r="C187" t="s">
        <v>331</v>
      </c>
      <c r="D187" t="s">
        <v>62</v>
      </c>
      <c r="G187" t="s">
        <v>88</v>
      </c>
      <c r="H187" t="s">
        <v>64</v>
      </c>
      <c r="I187">
        <v>0</v>
      </c>
      <c r="J187">
        <v>28.93</v>
      </c>
      <c r="K187">
        <v>28.93</v>
      </c>
      <c r="L187">
        <v>28.93</v>
      </c>
      <c r="M187">
        <v>30</v>
      </c>
      <c r="N187">
        <v>35</v>
      </c>
      <c r="O187">
        <v>50</v>
      </c>
      <c r="P187">
        <v>0</v>
      </c>
    </row>
    <row r="188" spans="1:16" hidden="1" x14ac:dyDescent="0.25">
      <c r="A188">
        <v>136</v>
      </c>
      <c r="B188" t="s">
        <v>20</v>
      </c>
      <c r="C188" t="s">
        <v>332</v>
      </c>
      <c r="D188" t="s">
        <v>62</v>
      </c>
      <c r="G188" t="s">
        <v>88</v>
      </c>
      <c r="H188" t="s">
        <v>64</v>
      </c>
      <c r="I188">
        <v>0</v>
      </c>
      <c r="J188">
        <v>4.05</v>
      </c>
      <c r="K188">
        <v>4.05</v>
      </c>
      <c r="L188">
        <v>4.05</v>
      </c>
      <c r="M188">
        <v>7</v>
      </c>
      <c r="N188">
        <v>7</v>
      </c>
      <c r="O188">
        <v>8</v>
      </c>
      <c r="P188">
        <v>0</v>
      </c>
    </row>
    <row r="189" spans="1:16" hidden="1" x14ac:dyDescent="0.25">
      <c r="A189">
        <v>137</v>
      </c>
      <c r="B189" t="s">
        <v>20</v>
      </c>
      <c r="C189" t="s">
        <v>333</v>
      </c>
      <c r="D189" t="s">
        <v>62</v>
      </c>
      <c r="G189" t="s">
        <v>88</v>
      </c>
      <c r="H189" t="s">
        <v>64</v>
      </c>
      <c r="I189">
        <v>0</v>
      </c>
      <c r="J189">
        <v>9.84</v>
      </c>
      <c r="K189">
        <v>9.84</v>
      </c>
      <c r="L189">
        <v>9.84</v>
      </c>
      <c r="M189">
        <v>12</v>
      </c>
      <c r="N189">
        <v>15</v>
      </c>
      <c r="O189">
        <v>15</v>
      </c>
      <c r="P189">
        <v>0</v>
      </c>
    </row>
    <row r="190" spans="1:16" hidden="1" x14ac:dyDescent="0.25">
      <c r="A190">
        <v>213</v>
      </c>
      <c r="B190" t="s">
        <v>20</v>
      </c>
      <c r="C190" t="s">
        <v>334</v>
      </c>
      <c r="D190" t="s">
        <v>86</v>
      </c>
      <c r="F190" t="s">
        <v>186</v>
      </c>
      <c r="G190" t="s">
        <v>64</v>
      </c>
      <c r="H190" t="s">
        <v>64</v>
      </c>
      <c r="I190">
        <v>0</v>
      </c>
      <c r="J190">
        <v>20</v>
      </c>
      <c r="K190">
        <v>10</v>
      </c>
      <c r="L190">
        <v>10</v>
      </c>
      <c r="M190">
        <v>20</v>
      </c>
      <c r="N190">
        <v>20</v>
      </c>
      <c r="O190">
        <v>30</v>
      </c>
      <c r="P190">
        <v>0</v>
      </c>
    </row>
    <row r="191" spans="1:16" hidden="1" x14ac:dyDescent="0.25">
      <c r="A191">
        <v>231</v>
      </c>
      <c r="B191" t="s">
        <v>20</v>
      </c>
      <c r="C191" t="s">
        <v>335</v>
      </c>
      <c r="D191" t="s">
        <v>86</v>
      </c>
      <c r="E191" t="s">
        <v>336</v>
      </c>
      <c r="F191" t="s">
        <v>336</v>
      </c>
      <c r="G191" t="s">
        <v>64</v>
      </c>
      <c r="H191" t="s">
        <v>64</v>
      </c>
      <c r="I191">
        <v>0</v>
      </c>
      <c r="J191">
        <v>40</v>
      </c>
      <c r="K191">
        <v>25</v>
      </c>
      <c r="L191">
        <v>25</v>
      </c>
      <c r="M191">
        <v>40</v>
      </c>
      <c r="N191">
        <v>40</v>
      </c>
      <c r="O191">
        <v>80</v>
      </c>
      <c r="P191">
        <v>0</v>
      </c>
    </row>
    <row r="192" spans="1:16" hidden="1" x14ac:dyDescent="0.25">
      <c r="A192">
        <v>232</v>
      </c>
      <c r="B192" t="s">
        <v>20</v>
      </c>
      <c r="C192" t="s">
        <v>337</v>
      </c>
      <c r="D192" t="s">
        <v>86</v>
      </c>
      <c r="E192" t="s">
        <v>336</v>
      </c>
      <c r="F192" t="s">
        <v>336</v>
      </c>
      <c r="G192" t="s">
        <v>64</v>
      </c>
      <c r="H192" t="s">
        <v>64</v>
      </c>
      <c r="I192">
        <v>0</v>
      </c>
      <c r="J192">
        <v>80</v>
      </c>
      <c r="K192">
        <v>50</v>
      </c>
      <c r="L192">
        <v>50</v>
      </c>
      <c r="M192">
        <v>80</v>
      </c>
      <c r="N192">
        <v>80</v>
      </c>
      <c r="O192">
        <v>140</v>
      </c>
      <c r="P192">
        <v>0</v>
      </c>
    </row>
    <row r="193" spans="1:16" hidden="1" x14ac:dyDescent="0.25">
      <c r="A193">
        <v>123</v>
      </c>
      <c r="B193" t="s">
        <v>25</v>
      </c>
      <c r="C193" t="s">
        <v>338</v>
      </c>
      <c r="D193" t="s">
        <v>86</v>
      </c>
      <c r="F193" t="s">
        <v>339</v>
      </c>
      <c r="G193" t="s">
        <v>64</v>
      </c>
      <c r="H193" t="s">
        <v>64</v>
      </c>
      <c r="I193">
        <v>0</v>
      </c>
      <c r="J193">
        <v>50</v>
      </c>
      <c r="K193">
        <v>50</v>
      </c>
      <c r="L193">
        <v>50</v>
      </c>
      <c r="M193">
        <v>80</v>
      </c>
      <c r="N193">
        <v>80</v>
      </c>
      <c r="O193">
        <v>80</v>
      </c>
      <c r="P193">
        <v>0</v>
      </c>
    </row>
    <row r="194" spans="1:16" hidden="1" x14ac:dyDescent="0.25">
      <c r="A194">
        <v>124</v>
      </c>
      <c r="B194" t="s">
        <v>25</v>
      </c>
      <c r="C194" t="s">
        <v>340</v>
      </c>
      <c r="D194" t="s">
        <v>86</v>
      </c>
      <c r="F194" t="s">
        <v>341</v>
      </c>
      <c r="G194" t="s">
        <v>64</v>
      </c>
      <c r="H194" t="s">
        <v>64</v>
      </c>
      <c r="I194">
        <v>0</v>
      </c>
      <c r="J194">
        <v>90</v>
      </c>
      <c r="K194">
        <v>90</v>
      </c>
      <c r="L194">
        <v>90</v>
      </c>
      <c r="M194">
        <v>150</v>
      </c>
      <c r="N194">
        <v>150</v>
      </c>
      <c r="O194">
        <v>150</v>
      </c>
      <c r="P194">
        <v>0</v>
      </c>
    </row>
  </sheetData>
  <autoFilter ref="A1:AJ194" xr:uid="{61FE2EA6-EF00-4EBE-AD34-23A0C4764AB8}">
    <filterColumn colId="1">
      <filters>
        <filter val="Líneas Móviles"/>
      </filters>
    </filterColumn>
  </autoFilter>
  <sortState xmlns:xlrd2="http://schemas.microsoft.com/office/spreadsheetml/2017/richdata2" ref="A4:AJ194">
    <sortCondition descending="1" ref="P4:P19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C3836-77B8-44AE-B977-E4D580366279}">
  <dimension ref="A1:W22"/>
  <sheetViews>
    <sheetView workbookViewId="0">
      <selection activeCell="O7" sqref="O7"/>
    </sheetView>
  </sheetViews>
  <sheetFormatPr baseColWidth="10" defaultColWidth="11.42578125" defaultRowHeight="15" x14ac:dyDescent="0.25"/>
  <cols>
    <col min="1" max="1" width="22.5703125" customWidth="1"/>
    <col min="2" max="2" width="22.7109375" customWidth="1"/>
    <col min="3" max="3" width="13" customWidth="1"/>
    <col min="4" max="4" width="11.85546875" customWidth="1"/>
    <col min="5" max="5" width="13.140625" customWidth="1"/>
    <col min="6" max="6" width="13.5703125" customWidth="1"/>
    <col min="7" max="7" width="12.7109375" customWidth="1"/>
    <col min="8" max="8" width="13.28515625" customWidth="1"/>
    <col min="9" max="9" width="13.7109375" customWidth="1"/>
    <col min="10" max="10" width="9" customWidth="1"/>
    <col min="11" max="11" width="9.140625" customWidth="1"/>
    <col min="21" max="21" width="22.28515625" customWidth="1"/>
  </cols>
  <sheetData>
    <row r="1" spans="1:23" s="10" customFormat="1" ht="60" x14ac:dyDescent="0.25">
      <c r="A1" s="10" t="s">
        <v>342</v>
      </c>
      <c r="B1" s="10" t="s">
        <v>343</v>
      </c>
      <c r="C1" s="10" t="s">
        <v>344</v>
      </c>
      <c r="D1" s="10" t="s">
        <v>345</v>
      </c>
      <c r="E1" s="10" t="s">
        <v>346</v>
      </c>
      <c r="F1" s="11" t="s">
        <v>347</v>
      </c>
      <c r="G1" s="11" t="s">
        <v>348</v>
      </c>
      <c r="H1" s="11" t="s">
        <v>349</v>
      </c>
      <c r="I1" s="11" t="s">
        <v>350</v>
      </c>
      <c r="J1" s="11" t="s">
        <v>351</v>
      </c>
      <c r="K1" s="11" t="s">
        <v>352</v>
      </c>
      <c r="L1" s="13" t="s">
        <v>353</v>
      </c>
      <c r="M1" s="13" t="s">
        <v>34</v>
      </c>
      <c r="N1" s="13" t="s">
        <v>35</v>
      </c>
      <c r="O1" s="13" t="s">
        <v>36</v>
      </c>
      <c r="P1" s="13" t="s">
        <v>37</v>
      </c>
      <c r="Q1" s="13" t="s">
        <v>38</v>
      </c>
      <c r="R1" s="13" t="s">
        <v>39</v>
      </c>
      <c r="S1" s="13" t="s">
        <v>26</v>
      </c>
      <c r="T1" s="13" t="s">
        <v>0</v>
      </c>
      <c r="U1" s="13" t="s">
        <v>27</v>
      </c>
      <c r="V1" s="13" t="s">
        <v>28</v>
      </c>
      <c r="W1" s="13" t="s">
        <v>354</v>
      </c>
    </row>
    <row r="2" spans="1:23" ht="28.15" customHeight="1" x14ac:dyDescent="0.25">
      <c r="A2" s="1" t="s">
        <v>355</v>
      </c>
      <c r="B2" s="1" t="s">
        <v>356</v>
      </c>
      <c r="C2" s="1" t="s">
        <v>357</v>
      </c>
      <c r="D2" s="1" t="s">
        <v>358</v>
      </c>
      <c r="E2" s="1" t="s">
        <v>359</v>
      </c>
      <c r="F2" s="1">
        <v>7.9497</v>
      </c>
      <c r="G2" s="1">
        <v>6.57</v>
      </c>
      <c r="H2" s="1">
        <v>4000</v>
      </c>
      <c r="I2" s="8">
        <v>0.4</v>
      </c>
      <c r="J2" s="12">
        <v>2.6280000000000001</v>
      </c>
      <c r="K2" s="12">
        <v>3.9420000000000002</v>
      </c>
      <c r="L2">
        <v>6.57</v>
      </c>
      <c r="M2">
        <v>3.94</v>
      </c>
      <c r="N2">
        <v>3.94</v>
      </c>
      <c r="O2">
        <v>3.94</v>
      </c>
      <c r="P2">
        <v>8</v>
      </c>
      <c r="Q2">
        <v>10</v>
      </c>
      <c r="R2">
        <v>13</v>
      </c>
      <c r="S2">
        <v>251</v>
      </c>
      <c r="T2" t="s">
        <v>1</v>
      </c>
      <c r="U2" t="s">
        <v>61</v>
      </c>
      <c r="V2" t="s">
        <v>62</v>
      </c>
    </row>
    <row r="3" spans="1:23" ht="28.15" customHeight="1" x14ac:dyDescent="0.25">
      <c r="A3" s="1" t="s">
        <v>355</v>
      </c>
      <c r="B3" s="1" t="s">
        <v>360</v>
      </c>
      <c r="C3" s="1" t="s">
        <v>361</v>
      </c>
      <c r="D3" s="1" t="s">
        <v>358</v>
      </c>
      <c r="E3" s="1" t="s">
        <v>359</v>
      </c>
      <c r="F3" s="1">
        <v>11.7491</v>
      </c>
      <c r="G3" s="1">
        <v>9.7100000000000009</v>
      </c>
      <c r="H3" s="1">
        <v>4000</v>
      </c>
      <c r="I3" s="9">
        <v>0.56999999999999995</v>
      </c>
      <c r="J3" s="12">
        <v>5.5347</v>
      </c>
      <c r="K3" s="12">
        <v>4.1753000000000009</v>
      </c>
      <c r="L3">
        <v>9.7100000000000009</v>
      </c>
      <c r="M3">
        <v>4.17</v>
      </c>
      <c r="N3">
        <v>3.94</v>
      </c>
      <c r="O3">
        <v>3.94</v>
      </c>
      <c r="P3">
        <v>8</v>
      </c>
      <c r="Q3">
        <v>10</v>
      </c>
      <c r="R3">
        <v>13</v>
      </c>
      <c r="S3">
        <v>252</v>
      </c>
      <c r="T3" t="s">
        <v>1</v>
      </c>
      <c r="U3" t="s">
        <v>65</v>
      </c>
      <c r="V3" t="s">
        <v>62</v>
      </c>
    </row>
    <row r="4" spans="1:23" ht="28.15" customHeight="1" x14ac:dyDescent="0.25">
      <c r="A4" s="1" t="s">
        <v>355</v>
      </c>
      <c r="B4" s="1" t="s">
        <v>362</v>
      </c>
      <c r="C4" s="1" t="s">
        <v>363</v>
      </c>
      <c r="D4" s="1" t="s">
        <v>358</v>
      </c>
      <c r="E4" s="1" t="s">
        <v>359</v>
      </c>
      <c r="F4" s="1">
        <v>5.9531999999999998</v>
      </c>
      <c r="G4" s="1">
        <v>4.92</v>
      </c>
      <c r="H4" s="1"/>
      <c r="I4" s="9">
        <v>0.2</v>
      </c>
      <c r="J4" s="12">
        <v>0.98399999999999999</v>
      </c>
      <c r="K4" s="12">
        <v>3.9359999999999999</v>
      </c>
      <c r="L4">
        <v>4.92</v>
      </c>
      <c r="M4">
        <v>3.94</v>
      </c>
      <c r="N4">
        <v>3.94</v>
      </c>
      <c r="O4">
        <v>4.18</v>
      </c>
      <c r="P4">
        <v>8</v>
      </c>
      <c r="Q4">
        <v>10</v>
      </c>
      <c r="R4">
        <v>13</v>
      </c>
      <c r="S4">
        <v>241</v>
      </c>
      <c r="T4" t="s">
        <v>1</v>
      </c>
      <c r="U4" t="s">
        <v>67</v>
      </c>
      <c r="V4" t="s">
        <v>62</v>
      </c>
    </row>
    <row r="5" spans="1:23" ht="59.45" customHeight="1" x14ac:dyDescent="0.25">
      <c r="A5" s="1" t="s">
        <v>355</v>
      </c>
      <c r="B5" s="1" t="s">
        <v>364</v>
      </c>
      <c r="C5" s="1" t="s">
        <v>365</v>
      </c>
      <c r="D5" s="1" t="s">
        <v>358</v>
      </c>
      <c r="E5" s="1" t="s">
        <v>359</v>
      </c>
      <c r="F5" s="1">
        <v>11.7491</v>
      </c>
      <c r="G5" s="1">
        <v>9.7100000000000009</v>
      </c>
      <c r="H5" s="1"/>
      <c r="I5" s="9">
        <v>0.55000000000000004</v>
      </c>
      <c r="J5" s="12">
        <v>5.3405000000000005</v>
      </c>
      <c r="K5" s="12">
        <v>4.3695000000000004</v>
      </c>
      <c r="L5">
        <v>9.7100000000000009</v>
      </c>
      <c r="M5">
        <v>4.37</v>
      </c>
      <c r="N5">
        <v>4.8600000000000003</v>
      </c>
      <c r="O5">
        <v>4.8600000000000003</v>
      </c>
      <c r="P5">
        <v>9</v>
      </c>
      <c r="Q5">
        <v>12</v>
      </c>
      <c r="R5">
        <v>17</v>
      </c>
      <c r="S5">
        <v>178</v>
      </c>
      <c r="T5" t="s">
        <v>1</v>
      </c>
      <c r="U5" t="s">
        <v>69</v>
      </c>
      <c r="V5" t="s">
        <v>62</v>
      </c>
    </row>
    <row r="6" spans="1:23" x14ac:dyDescent="0.25">
      <c r="B6" s="1" t="s">
        <v>366</v>
      </c>
      <c r="C6" s="1"/>
      <c r="D6" s="1" t="s">
        <v>358</v>
      </c>
      <c r="F6" s="1">
        <v>0</v>
      </c>
      <c r="I6" s="9">
        <v>0.55000000000000004</v>
      </c>
      <c r="J6" s="12">
        <v>0</v>
      </c>
      <c r="K6" s="12">
        <v>0</v>
      </c>
      <c r="L6">
        <v>0</v>
      </c>
      <c r="M6">
        <v>12</v>
      </c>
      <c r="N6">
        <v>15</v>
      </c>
      <c r="O6">
        <v>15</v>
      </c>
      <c r="P6">
        <v>22</v>
      </c>
      <c r="Q6">
        <v>22</v>
      </c>
      <c r="R6">
        <v>25</v>
      </c>
      <c r="S6">
        <v>126</v>
      </c>
      <c r="T6" t="s">
        <v>1</v>
      </c>
      <c r="U6" t="s">
        <v>91</v>
      </c>
      <c r="V6" t="s">
        <v>62</v>
      </c>
    </row>
    <row r="7" spans="1:23" ht="82.9" customHeight="1" x14ac:dyDescent="0.25">
      <c r="A7" s="1" t="s">
        <v>355</v>
      </c>
      <c r="B7" s="1" t="s">
        <v>100</v>
      </c>
      <c r="C7" s="1" t="s">
        <v>367</v>
      </c>
      <c r="D7" s="1" t="s">
        <v>358</v>
      </c>
      <c r="E7" s="1"/>
      <c r="F7" s="1">
        <v>9.946200000000001</v>
      </c>
      <c r="G7" s="1">
        <v>8.2200000000000006</v>
      </c>
      <c r="H7" s="1"/>
      <c r="I7" s="9">
        <v>0.43</v>
      </c>
      <c r="J7" s="12">
        <v>3.5346000000000002</v>
      </c>
      <c r="K7" s="12">
        <v>4.6854000000000005</v>
      </c>
      <c r="L7">
        <v>8.2200000000000006</v>
      </c>
      <c r="M7">
        <v>4.6900000000000004</v>
      </c>
      <c r="N7">
        <v>6</v>
      </c>
      <c r="O7">
        <v>6</v>
      </c>
      <c r="P7">
        <v>10</v>
      </c>
      <c r="Q7">
        <v>12</v>
      </c>
      <c r="R7">
        <v>15</v>
      </c>
      <c r="S7">
        <v>221</v>
      </c>
      <c r="T7" t="s">
        <v>1</v>
      </c>
      <c r="U7" t="s">
        <v>100</v>
      </c>
      <c r="V7" t="s">
        <v>62</v>
      </c>
    </row>
    <row r="8" spans="1:23" x14ac:dyDescent="0.25">
      <c r="B8" s="1" t="s">
        <v>366</v>
      </c>
      <c r="C8" s="1"/>
      <c r="D8" s="1" t="s">
        <v>358</v>
      </c>
      <c r="F8" s="1">
        <v>0</v>
      </c>
      <c r="I8" s="9">
        <v>0.43</v>
      </c>
      <c r="J8" s="12">
        <v>0</v>
      </c>
      <c r="K8" s="12">
        <v>0</v>
      </c>
      <c r="L8">
        <v>0</v>
      </c>
      <c r="M8">
        <v>3.99</v>
      </c>
      <c r="N8">
        <v>7.36</v>
      </c>
      <c r="O8">
        <v>7.36</v>
      </c>
      <c r="P8">
        <v>10</v>
      </c>
      <c r="Q8">
        <v>14.72</v>
      </c>
      <c r="R8">
        <v>15</v>
      </c>
      <c r="S8">
        <v>166</v>
      </c>
      <c r="T8" t="s">
        <v>1</v>
      </c>
      <c r="U8" t="s">
        <v>102</v>
      </c>
      <c r="V8" t="s">
        <v>62</v>
      </c>
    </row>
    <row r="9" spans="1:23" ht="163.9" customHeight="1" x14ac:dyDescent="0.25">
      <c r="A9" s="1" t="s">
        <v>355</v>
      </c>
      <c r="B9" s="1" t="s">
        <v>368</v>
      </c>
      <c r="C9" s="1" t="s">
        <v>369</v>
      </c>
      <c r="D9" s="1" t="s">
        <v>358</v>
      </c>
      <c r="E9" s="1"/>
      <c r="F9" s="1">
        <v>12.946999999999999</v>
      </c>
      <c r="G9" s="1">
        <v>10.7</v>
      </c>
      <c r="H9" s="1"/>
      <c r="I9" s="9">
        <v>0.55000000000000004</v>
      </c>
      <c r="J9" s="12">
        <v>5.8849999999999998</v>
      </c>
      <c r="K9" s="12">
        <v>4.8149999999999995</v>
      </c>
      <c r="L9">
        <v>10.7</v>
      </c>
      <c r="M9">
        <v>4.82</v>
      </c>
      <c r="N9">
        <v>9.07</v>
      </c>
      <c r="O9">
        <v>9.07</v>
      </c>
      <c r="P9">
        <v>12</v>
      </c>
      <c r="Q9">
        <v>14</v>
      </c>
      <c r="R9">
        <v>20</v>
      </c>
      <c r="S9">
        <v>222</v>
      </c>
      <c r="T9" t="s">
        <v>1</v>
      </c>
      <c r="U9" t="s">
        <v>115</v>
      </c>
      <c r="V9" t="s">
        <v>62</v>
      </c>
    </row>
    <row r="10" spans="1:23" x14ac:dyDescent="0.25">
      <c r="A10" s="1" t="s">
        <v>355</v>
      </c>
      <c r="B10" s="1" t="s">
        <v>370</v>
      </c>
      <c r="C10" s="1" t="s">
        <v>371</v>
      </c>
      <c r="D10" s="1" t="s">
        <v>358</v>
      </c>
      <c r="E10" s="1"/>
      <c r="F10" s="1">
        <v>15.947799999999999</v>
      </c>
      <c r="G10" s="1">
        <v>13.18</v>
      </c>
      <c r="H10" s="1"/>
      <c r="I10" s="9">
        <v>0.6</v>
      </c>
      <c r="J10" s="12">
        <v>7.9079999999999995</v>
      </c>
      <c r="K10" s="12">
        <v>5.2720000000000002</v>
      </c>
      <c r="L10">
        <v>13.18</v>
      </c>
      <c r="M10">
        <v>5.27</v>
      </c>
      <c r="N10">
        <v>12</v>
      </c>
      <c r="O10">
        <v>12</v>
      </c>
      <c r="P10">
        <v>16</v>
      </c>
      <c r="Q10">
        <v>20</v>
      </c>
      <c r="R10">
        <v>30</v>
      </c>
      <c r="S10">
        <v>240</v>
      </c>
      <c r="T10" t="s">
        <v>1</v>
      </c>
      <c r="U10" t="s">
        <v>135</v>
      </c>
      <c r="V10" t="s">
        <v>62</v>
      </c>
    </row>
    <row r="11" spans="1:23" x14ac:dyDescent="0.25">
      <c r="B11" s="1" t="s">
        <v>366</v>
      </c>
      <c r="C11" s="1"/>
      <c r="D11" s="1" t="s">
        <v>358</v>
      </c>
      <c r="J11" s="12">
        <v>0</v>
      </c>
      <c r="K11" s="12">
        <v>0</v>
      </c>
      <c r="L11">
        <v>0</v>
      </c>
      <c r="M11">
        <v>8.6199999999999992</v>
      </c>
      <c r="N11">
        <v>13.4</v>
      </c>
      <c r="O11">
        <v>13.4</v>
      </c>
      <c r="P11">
        <v>14</v>
      </c>
      <c r="Q11">
        <v>16.8</v>
      </c>
      <c r="R11">
        <v>25</v>
      </c>
      <c r="S11">
        <v>172</v>
      </c>
      <c r="T11" t="s">
        <v>1</v>
      </c>
      <c r="U11" t="s">
        <v>147</v>
      </c>
      <c r="V11" t="s">
        <v>62</v>
      </c>
    </row>
    <row r="12" spans="1:23" x14ac:dyDescent="0.25">
      <c r="B12" s="1" t="s">
        <v>366</v>
      </c>
      <c r="C12" s="1"/>
      <c r="D12" s="1" t="s">
        <v>358</v>
      </c>
      <c r="J12" s="12">
        <v>0</v>
      </c>
      <c r="K12" s="12">
        <v>0</v>
      </c>
      <c r="L12">
        <v>0</v>
      </c>
      <c r="M12">
        <v>8.0399999999999991</v>
      </c>
      <c r="N12">
        <v>9.01</v>
      </c>
      <c r="O12">
        <v>9.01</v>
      </c>
      <c r="P12">
        <v>12</v>
      </c>
      <c r="Q12">
        <v>18.02</v>
      </c>
      <c r="R12">
        <v>20</v>
      </c>
      <c r="S12">
        <v>173</v>
      </c>
      <c r="T12" t="s">
        <v>1</v>
      </c>
      <c r="U12" t="s">
        <v>150</v>
      </c>
      <c r="V12" t="s">
        <v>62</v>
      </c>
    </row>
    <row r="13" spans="1:23" ht="30" x14ac:dyDescent="0.25">
      <c r="A13" s="1" t="s">
        <v>355</v>
      </c>
      <c r="B13" s="1" t="s">
        <v>372</v>
      </c>
      <c r="C13" s="1" t="s">
        <v>369</v>
      </c>
      <c r="D13" s="1" t="s">
        <v>358</v>
      </c>
      <c r="E13" s="1"/>
      <c r="F13" s="1">
        <f>G13*1.21</f>
        <v>12.946999999999999</v>
      </c>
      <c r="G13" s="1">
        <v>10.7</v>
      </c>
      <c r="H13" s="1"/>
      <c r="I13" s="9" t="s">
        <v>373</v>
      </c>
      <c r="J13" s="12">
        <f>(G13*0.55)+ 0.545</f>
        <v>6.43</v>
      </c>
      <c r="K13" s="12">
        <f>G13-J13</f>
        <v>4.2699999999999996</v>
      </c>
      <c r="L13">
        <v>10.7</v>
      </c>
      <c r="M13">
        <v>4.82</v>
      </c>
      <c r="N13">
        <v>9.07</v>
      </c>
      <c r="O13">
        <v>9.07</v>
      </c>
      <c r="P13">
        <v>12</v>
      </c>
      <c r="Q13">
        <v>14</v>
      </c>
      <c r="R13">
        <v>20</v>
      </c>
      <c r="S13">
        <v>222</v>
      </c>
      <c r="T13" t="s">
        <v>1</v>
      </c>
      <c r="U13" t="s">
        <v>115</v>
      </c>
      <c r="V13" t="s">
        <v>62</v>
      </c>
    </row>
    <row r="14" spans="1:23" x14ac:dyDescent="0.25">
      <c r="A14" s="1" t="s">
        <v>355</v>
      </c>
      <c r="B14" s="1" t="s">
        <v>234</v>
      </c>
      <c r="C14" s="1" t="s">
        <v>363</v>
      </c>
      <c r="D14" s="1" t="s">
        <v>358</v>
      </c>
      <c r="J14" s="12">
        <v>0</v>
      </c>
      <c r="K14" s="12">
        <v>0</v>
      </c>
      <c r="L14">
        <v>0</v>
      </c>
      <c r="M14">
        <v>0.3</v>
      </c>
      <c r="N14">
        <v>0.3</v>
      </c>
      <c r="O14">
        <v>0.3</v>
      </c>
      <c r="P14">
        <v>0</v>
      </c>
      <c r="Q14">
        <v>0</v>
      </c>
      <c r="R14">
        <v>0</v>
      </c>
      <c r="S14">
        <v>54</v>
      </c>
      <c r="T14" t="s">
        <v>1</v>
      </c>
      <c r="U14" t="s">
        <v>234</v>
      </c>
      <c r="V14" t="s">
        <v>62</v>
      </c>
    </row>
    <row r="15" spans="1:23" x14ac:dyDescent="0.25">
      <c r="A15" t="s">
        <v>11</v>
      </c>
      <c r="L15">
        <v>6.9</v>
      </c>
      <c r="M15">
        <v>3.99</v>
      </c>
      <c r="N15">
        <v>8</v>
      </c>
      <c r="O15">
        <v>8</v>
      </c>
      <c r="P15">
        <v>10</v>
      </c>
      <c r="Q15">
        <v>10</v>
      </c>
      <c r="R15">
        <v>15</v>
      </c>
      <c r="S15">
        <v>209</v>
      </c>
      <c r="T15" t="s">
        <v>1</v>
      </c>
      <c r="U15" t="s">
        <v>93</v>
      </c>
      <c r="V15" t="s">
        <v>62</v>
      </c>
    </row>
    <row r="16" spans="1:23" x14ac:dyDescent="0.25">
      <c r="A16" s="1" t="s">
        <v>355</v>
      </c>
      <c r="F16">
        <v>30</v>
      </c>
      <c r="G16">
        <v>30</v>
      </c>
      <c r="L16">
        <v>30</v>
      </c>
      <c r="M16">
        <v>30</v>
      </c>
      <c r="N16">
        <v>30</v>
      </c>
      <c r="O16">
        <v>30</v>
      </c>
      <c r="P16">
        <v>30</v>
      </c>
      <c r="Q16">
        <v>30</v>
      </c>
      <c r="R16">
        <v>60</v>
      </c>
      <c r="S16">
        <v>208</v>
      </c>
      <c r="T16" t="s">
        <v>1</v>
      </c>
      <c r="U16" t="s">
        <v>151</v>
      </c>
      <c r="V16" t="s">
        <v>86</v>
      </c>
    </row>
    <row r="17" spans="1:22" x14ac:dyDescent="0.25">
      <c r="A17" t="s">
        <v>10</v>
      </c>
      <c r="L17">
        <v>8.18</v>
      </c>
      <c r="M17">
        <v>8.18</v>
      </c>
      <c r="N17">
        <v>8.18</v>
      </c>
      <c r="O17">
        <v>8.18</v>
      </c>
      <c r="P17">
        <v>12</v>
      </c>
      <c r="Q17">
        <v>14</v>
      </c>
      <c r="R17">
        <v>20</v>
      </c>
      <c r="S17">
        <v>226</v>
      </c>
      <c r="T17" t="s">
        <v>1</v>
      </c>
      <c r="U17" t="s">
        <v>167</v>
      </c>
      <c r="V17" t="s">
        <v>62</v>
      </c>
    </row>
    <row r="18" spans="1:22" x14ac:dyDescent="0.25">
      <c r="A18" t="s">
        <v>10</v>
      </c>
      <c r="L18">
        <v>8.18</v>
      </c>
      <c r="M18">
        <v>8.18</v>
      </c>
      <c r="N18">
        <v>8.18</v>
      </c>
      <c r="O18">
        <v>8.18</v>
      </c>
      <c r="P18">
        <v>12</v>
      </c>
      <c r="Q18">
        <v>14</v>
      </c>
      <c r="R18">
        <v>20</v>
      </c>
      <c r="S18">
        <v>225</v>
      </c>
      <c r="T18" t="s">
        <v>1</v>
      </c>
      <c r="U18" t="s">
        <v>173</v>
      </c>
      <c r="V18" t="s">
        <v>62</v>
      </c>
    </row>
    <row r="19" spans="1:22" x14ac:dyDescent="0.25">
      <c r="A19" t="s">
        <v>10</v>
      </c>
      <c r="L19">
        <v>10</v>
      </c>
      <c r="M19">
        <v>10</v>
      </c>
      <c r="N19">
        <v>10</v>
      </c>
      <c r="O19">
        <v>10</v>
      </c>
      <c r="P19">
        <v>12</v>
      </c>
      <c r="Q19">
        <v>12</v>
      </c>
      <c r="R19">
        <v>15</v>
      </c>
      <c r="S19">
        <v>216</v>
      </c>
      <c r="T19" t="s">
        <v>1</v>
      </c>
      <c r="U19" t="s">
        <v>189</v>
      </c>
      <c r="V19" t="s">
        <v>62</v>
      </c>
    </row>
    <row r="20" spans="1:22" x14ac:dyDescent="0.25">
      <c r="A20" t="s">
        <v>10</v>
      </c>
      <c r="L20">
        <v>0</v>
      </c>
      <c r="M20">
        <v>0</v>
      </c>
      <c r="N20">
        <v>0</v>
      </c>
      <c r="O20">
        <v>0</v>
      </c>
      <c r="P20">
        <v>0</v>
      </c>
      <c r="Q20">
        <v>0</v>
      </c>
      <c r="R20">
        <v>0</v>
      </c>
      <c r="S20">
        <v>147</v>
      </c>
      <c r="T20" t="s">
        <v>1</v>
      </c>
      <c r="U20" t="s">
        <v>203</v>
      </c>
      <c r="V20" t="s">
        <v>62</v>
      </c>
    </row>
    <row r="22" spans="1:22" x14ac:dyDescent="0.25">
      <c r="A22" t="s">
        <v>374</v>
      </c>
      <c r="B22" t="s">
        <v>375</v>
      </c>
      <c r="D22" t="s">
        <v>376</v>
      </c>
      <c r="L22">
        <v>39</v>
      </c>
      <c r="M22">
        <v>39</v>
      </c>
      <c r="N22">
        <v>39</v>
      </c>
      <c r="O22">
        <v>39</v>
      </c>
      <c r="P22">
        <v>50</v>
      </c>
      <c r="Q22">
        <v>50</v>
      </c>
      <c r="R22">
        <v>90</v>
      </c>
      <c r="S22">
        <v>235</v>
      </c>
      <c r="T22" t="s">
        <v>16</v>
      </c>
      <c r="U22" t="s">
        <v>107</v>
      </c>
      <c r="V22" t="s">
        <v>97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F00C-5DA0-45AD-8B23-9C700167C54B}">
  <dimension ref="A1:U11"/>
  <sheetViews>
    <sheetView workbookViewId="0">
      <selection activeCell="G2" sqref="G2"/>
    </sheetView>
  </sheetViews>
  <sheetFormatPr baseColWidth="10" defaultColWidth="11.42578125" defaultRowHeight="15" x14ac:dyDescent="0.25"/>
  <cols>
    <col min="2" max="2" width="29.42578125" bestFit="1" customWidth="1"/>
    <col min="3" max="3" width="21.42578125" customWidth="1"/>
  </cols>
  <sheetData>
    <row r="1" spans="1:21" s="10" customFormat="1" ht="60" x14ac:dyDescent="0.25">
      <c r="A1" s="10" t="s">
        <v>342</v>
      </c>
      <c r="B1" s="10" t="s">
        <v>343</v>
      </c>
      <c r="C1" s="10" t="s">
        <v>344</v>
      </c>
      <c r="D1" s="10" t="s">
        <v>345</v>
      </c>
      <c r="E1" s="10" t="s">
        <v>346</v>
      </c>
      <c r="F1" s="11" t="s">
        <v>347</v>
      </c>
      <c r="G1" s="11" t="s">
        <v>348</v>
      </c>
      <c r="H1" s="11" t="s">
        <v>349</v>
      </c>
      <c r="I1" s="11" t="s">
        <v>350</v>
      </c>
      <c r="J1" s="11" t="s">
        <v>351</v>
      </c>
      <c r="K1" s="11" t="s">
        <v>352</v>
      </c>
      <c r="L1" s="13" t="s">
        <v>353</v>
      </c>
      <c r="M1" s="13" t="s">
        <v>34</v>
      </c>
      <c r="N1" s="13" t="s">
        <v>35</v>
      </c>
      <c r="O1" s="13" t="s">
        <v>37</v>
      </c>
      <c r="P1" s="13" t="s">
        <v>36</v>
      </c>
      <c r="Q1" s="13" t="s">
        <v>38</v>
      </c>
      <c r="R1" s="13" t="s">
        <v>39</v>
      </c>
    </row>
    <row r="2" spans="1:21" x14ac:dyDescent="0.25">
      <c r="A2" t="s">
        <v>5</v>
      </c>
      <c r="B2" t="s">
        <v>377</v>
      </c>
      <c r="D2" t="s">
        <v>378</v>
      </c>
      <c r="E2" t="s">
        <v>359</v>
      </c>
      <c r="G2">
        <v>19</v>
      </c>
      <c r="L2">
        <v>0</v>
      </c>
      <c r="M2">
        <v>19</v>
      </c>
      <c r="N2">
        <v>28</v>
      </c>
      <c r="O2">
        <v>28</v>
      </c>
      <c r="P2">
        <v>40</v>
      </c>
      <c r="Q2">
        <v>45</v>
      </c>
      <c r="R2">
        <v>50</v>
      </c>
      <c r="T2">
        <v>518</v>
      </c>
    </row>
    <row r="3" spans="1:21" x14ac:dyDescent="0.25">
      <c r="A3" t="s">
        <v>79</v>
      </c>
      <c r="D3" t="s">
        <v>379</v>
      </c>
      <c r="E3" t="s">
        <v>359</v>
      </c>
      <c r="L3">
        <v>0</v>
      </c>
      <c r="M3">
        <v>19</v>
      </c>
      <c r="N3">
        <v>28</v>
      </c>
      <c r="O3">
        <v>28</v>
      </c>
      <c r="P3">
        <v>40</v>
      </c>
      <c r="Q3">
        <v>45</v>
      </c>
      <c r="R3">
        <v>50</v>
      </c>
      <c r="T3">
        <v>349</v>
      </c>
    </row>
    <row r="4" spans="1:21" x14ac:dyDescent="0.25">
      <c r="A4" t="s">
        <v>80</v>
      </c>
      <c r="D4" t="s">
        <v>380</v>
      </c>
      <c r="E4" t="s">
        <v>359</v>
      </c>
      <c r="L4">
        <v>0</v>
      </c>
      <c r="M4">
        <v>19</v>
      </c>
      <c r="N4">
        <v>28</v>
      </c>
      <c r="O4">
        <v>28</v>
      </c>
      <c r="P4">
        <v>40</v>
      </c>
      <c r="Q4">
        <v>45</v>
      </c>
      <c r="R4">
        <v>50</v>
      </c>
      <c r="T4">
        <v>50</v>
      </c>
    </row>
    <row r="5" spans="1:21" x14ac:dyDescent="0.25">
      <c r="A5" t="s">
        <v>81</v>
      </c>
      <c r="D5" t="s">
        <v>381</v>
      </c>
      <c r="E5" t="s">
        <v>359</v>
      </c>
      <c r="L5">
        <v>0</v>
      </c>
      <c r="M5">
        <v>19</v>
      </c>
      <c r="N5">
        <v>28</v>
      </c>
      <c r="O5">
        <v>28</v>
      </c>
      <c r="P5">
        <v>40</v>
      </c>
      <c r="Q5">
        <v>45</v>
      </c>
      <c r="R5">
        <v>50</v>
      </c>
      <c r="T5">
        <v>50</v>
      </c>
      <c r="U5" t="s">
        <v>51</v>
      </c>
    </row>
    <row r="6" spans="1:21" x14ac:dyDescent="0.25">
      <c r="A6" t="s">
        <v>5</v>
      </c>
      <c r="D6" t="s">
        <v>378</v>
      </c>
      <c r="E6" t="s">
        <v>359</v>
      </c>
      <c r="L6">
        <v>0</v>
      </c>
      <c r="M6">
        <v>24</v>
      </c>
      <c r="N6">
        <v>30</v>
      </c>
      <c r="O6">
        <v>30</v>
      </c>
      <c r="P6">
        <v>45</v>
      </c>
      <c r="Q6">
        <v>55</v>
      </c>
      <c r="R6">
        <v>55</v>
      </c>
      <c r="T6">
        <v>608</v>
      </c>
      <c r="U6" t="s">
        <v>83</v>
      </c>
    </row>
    <row r="7" spans="1:21" x14ac:dyDescent="0.25">
      <c r="A7" t="s">
        <v>79</v>
      </c>
      <c r="D7" t="s">
        <v>379</v>
      </c>
      <c r="E7" t="s">
        <v>359</v>
      </c>
      <c r="L7">
        <v>0</v>
      </c>
      <c r="M7">
        <v>24</v>
      </c>
      <c r="N7">
        <v>30</v>
      </c>
      <c r="O7">
        <v>30</v>
      </c>
      <c r="P7">
        <v>45</v>
      </c>
      <c r="Q7">
        <v>55</v>
      </c>
      <c r="R7">
        <v>55</v>
      </c>
      <c r="T7">
        <v>45</v>
      </c>
    </row>
    <row r="8" spans="1:21" x14ac:dyDescent="0.25">
      <c r="A8" t="s">
        <v>82</v>
      </c>
      <c r="D8" t="s">
        <v>382</v>
      </c>
      <c r="E8" t="s">
        <v>359</v>
      </c>
      <c r="L8">
        <v>0</v>
      </c>
      <c r="M8">
        <v>24</v>
      </c>
      <c r="N8">
        <v>30</v>
      </c>
      <c r="O8">
        <v>30</v>
      </c>
      <c r="P8">
        <v>45</v>
      </c>
      <c r="Q8">
        <v>55</v>
      </c>
      <c r="R8">
        <v>55</v>
      </c>
      <c r="T8">
        <v>31</v>
      </c>
    </row>
    <row r="9" spans="1:21" x14ac:dyDescent="0.25">
      <c r="A9" t="s">
        <v>8</v>
      </c>
      <c r="D9" t="s">
        <v>383</v>
      </c>
      <c r="E9" t="s">
        <v>359</v>
      </c>
      <c r="L9">
        <v>0</v>
      </c>
      <c r="M9">
        <v>22.53</v>
      </c>
      <c r="N9">
        <v>25</v>
      </c>
      <c r="O9">
        <v>25</v>
      </c>
      <c r="P9">
        <v>40</v>
      </c>
      <c r="Q9">
        <v>40</v>
      </c>
      <c r="R9">
        <v>50</v>
      </c>
      <c r="T9">
        <v>202</v>
      </c>
    </row>
    <row r="10" spans="1:21" x14ac:dyDescent="0.25">
      <c r="A10" t="s">
        <v>8</v>
      </c>
      <c r="D10" t="s">
        <v>383</v>
      </c>
      <c r="L10">
        <v>0</v>
      </c>
      <c r="M10">
        <v>24.81</v>
      </c>
      <c r="N10">
        <v>28</v>
      </c>
      <c r="O10">
        <v>28</v>
      </c>
      <c r="P10">
        <v>45</v>
      </c>
      <c r="Q10">
        <v>45</v>
      </c>
      <c r="R10">
        <v>55</v>
      </c>
      <c r="T10">
        <v>93</v>
      </c>
    </row>
    <row r="11" spans="1:21" x14ac:dyDescent="0.25">
      <c r="A11" t="s">
        <v>8</v>
      </c>
      <c r="D11" t="s">
        <v>383</v>
      </c>
      <c r="L11">
        <v>0</v>
      </c>
      <c r="M11">
        <v>65</v>
      </c>
      <c r="N11">
        <v>41.1</v>
      </c>
      <c r="O11">
        <v>41.1</v>
      </c>
      <c r="P11">
        <v>65</v>
      </c>
      <c r="Q11">
        <v>65</v>
      </c>
      <c r="R11">
        <v>80</v>
      </c>
      <c r="T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Hoja2</vt:lpstr>
      <vt:lpstr>informe CRM</vt:lpstr>
      <vt:lpstr>Tarifas operadores MOVIL</vt:lpstr>
      <vt:lpstr>Tarifas operadores FIBRA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Alvaro Ortega</cp:lastModifiedBy>
  <cp:revision/>
  <dcterms:created xsi:type="dcterms:W3CDTF">2026-03-13T09:13:01Z</dcterms:created>
  <dcterms:modified xsi:type="dcterms:W3CDTF">2026-04-07T09:01:57Z</dcterms:modified>
  <cp:category/>
  <cp:contentStatus/>
</cp:coreProperties>
</file>